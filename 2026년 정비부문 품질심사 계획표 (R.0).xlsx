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twayair\Desktop\동재\"/>
    </mc:Choice>
  </mc:AlternateContent>
  <bookViews>
    <workbookView xWindow="-105" yWindow="-105" windowWidth="25830" windowHeight="13890"/>
  </bookViews>
  <sheets>
    <sheet name="Sheet1" sheetId="8" r:id="rId1"/>
    <sheet name="Sheet2" sheetId="3" r:id="rId2"/>
    <sheet name="CAR 현황" sheetId="7" r:id="rId3"/>
  </sheets>
  <externalReferences>
    <externalReference r:id="rId4"/>
  </externalReferences>
  <definedNames>
    <definedName name="_xlnm._FilterDatabase" localSheetId="0" hidden="1">Sheet1!$A$4:$Y$57</definedName>
    <definedName name="_xlnm._FilterDatabase" localSheetId="1" hidden="1">Sheet2!$J$140:$M$140</definedName>
    <definedName name="ExternalData_1" localSheetId="2" hidden="1">'CAR 현황'!$A$1:$P$42</definedName>
    <definedName name="_xlnm.Print_Area" localSheetId="0">Sheet1!$A$1:$X$57</definedName>
    <definedName name="_xlnm.Print_Area" localSheetId="1">Sheet2!$C$2:$G$135</definedName>
    <definedName name="_xlnm.Print_Titles" localSheetId="0">Sheet1!$1:$4</definedName>
    <definedName name="_xlnm.Print_Titles" localSheetId="1">Sheet2!$2:$4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53" i="3" l="1"/>
  <c r="M153" i="3"/>
  <c r="L153" i="3"/>
  <c r="K153" i="3"/>
  <c r="N152" i="3"/>
  <c r="M152" i="3"/>
  <c r="L152" i="3"/>
  <c r="K152" i="3"/>
  <c r="N151" i="3"/>
  <c r="M151" i="3"/>
  <c r="L151" i="3"/>
  <c r="K151" i="3"/>
  <c r="N150" i="3"/>
  <c r="M150" i="3"/>
  <c r="L150" i="3"/>
  <c r="K150" i="3"/>
  <c r="N149" i="3"/>
  <c r="M149" i="3"/>
  <c r="L149" i="3"/>
  <c r="K149" i="3"/>
  <c r="N148" i="3"/>
  <c r="M148" i="3"/>
  <c r="L148" i="3"/>
  <c r="K148" i="3"/>
  <c r="N147" i="3" l="1"/>
  <c r="M147" i="3"/>
  <c r="L147" i="3"/>
  <c r="K147" i="3"/>
  <c r="N146" i="3"/>
  <c r="M146" i="3"/>
  <c r="L146" i="3"/>
  <c r="K146" i="3"/>
  <c r="N145" i="3"/>
  <c r="M145" i="3"/>
  <c r="L145" i="3"/>
  <c r="K145" i="3"/>
  <c r="N144" i="3"/>
  <c r="M144" i="3"/>
  <c r="L144" i="3"/>
  <c r="K144" i="3"/>
  <c r="K142" i="3" l="1"/>
  <c r="L142" i="3"/>
  <c r="M142" i="3"/>
  <c r="N142" i="3"/>
  <c r="K143" i="3"/>
  <c r="L143" i="3"/>
  <c r="M143" i="3"/>
  <c r="N143" i="3"/>
  <c r="AD7" i="8"/>
  <c r="AD6" i="8"/>
  <c r="AD5" i="8"/>
  <c r="AD4" i="8"/>
  <c r="N141" i="3"/>
  <c r="K141" i="3"/>
  <c r="L141" i="3"/>
  <c r="M141" i="3"/>
  <c r="AD8" i="8" l="1"/>
</calcChain>
</file>

<file path=xl/connections.xml><?xml version="1.0" encoding="utf-8"?>
<connections xmlns="http://schemas.openxmlformats.org/spreadsheetml/2006/main">
  <connection id="1" keepAlive="1" name="쿼리 - CAR 현황" description="통합 문서의 'CAR 현황' 쿼리에 대한 연결입니다." type="5" refreshedVersion="8" background="1" saveData="1">
    <dbPr connection="Provider=Microsoft.Mashup.OleDb.1;Data Source=$Workbook$;Location=&quot;CAR 현황&quot;;Extended Properties=&quot;&quot;" command="SELECT * FROM [CAR 현황]"/>
  </connection>
  <connection id="2" keepAlive="1" name="쿼리 - CAR 현황 (2)" description="통합 문서의 'CAR 현황 (2)' 쿼리에 대한 연결입니다." type="5" refreshedVersion="8" background="1" saveData="1">
    <dbPr connection="Provider=Microsoft.Mashup.OleDb.1;Data Source=$Workbook$;Location=&quot;CAR 현황 (2)&quot;;Extended Properties=&quot;&quot;" command="SELECT * FROM [CAR 현황 (2)]"/>
  </connection>
  <connection id="3" keepAlive="1" name="쿼리 - CAR 현황 (3)" description="통합 문서의 'CAR 현황 (3)' 쿼리에 대한 연결입니다." type="5" refreshedVersion="0" background="1">
    <dbPr connection="Provider=Microsoft.Mashup.OleDb.1;Data Source=$Workbook$;Location=&quot;CAR 현황 (3)&quot;;Extended Properties=&quot;&quot;" command="SELECT * FROM [CAR 현황 (3)]"/>
  </connection>
  <connection id="4" keepAlive="1" name="쿼리 - CAR 현황 (4)" description="통합 문서의 'CAR 현황 (4)' 쿼리에 대한 연결입니다." type="5" refreshedVersion="0" background="1">
    <dbPr connection="Provider=Microsoft.Mashup.OleDb.1;Data Source=$Workbook$;Location=&quot;CAR 현황 (4)&quot;;Extended Properties=&quot;&quot;" command="SELECT * FROM [CAR 현황 (4)]"/>
  </connection>
</connections>
</file>

<file path=xl/sharedStrings.xml><?xml version="1.0" encoding="utf-8"?>
<sst xmlns="http://schemas.openxmlformats.org/spreadsheetml/2006/main" count="711" uniqueCount="434">
  <si>
    <t>심사 분야
(Audit Area)</t>
    <phoneticPr fontId="3" type="noConversion"/>
  </si>
  <si>
    <t>점검대상</t>
    <phoneticPr fontId="3" type="noConversion"/>
  </si>
  <si>
    <t>품질심사 주기
(Interval)</t>
    <phoneticPr fontId="3" type="noConversion"/>
  </si>
  <si>
    <t>2월</t>
    <phoneticPr fontId="3" type="noConversion"/>
  </si>
  <si>
    <t>3월</t>
    <phoneticPr fontId="3" type="noConversion"/>
  </si>
  <si>
    <t>5월</t>
    <phoneticPr fontId="3" type="noConversion"/>
  </si>
  <si>
    <t>6월</t>
    <phoneticPr fontId="3" type="noConversion"/>
  </si>
  <si>
    <t>7월</t>
    <phoneticPr fontId="3" type="noConversion"/>
  </si>
  <si>
    <t>8월</t>
    <phoneticPr fontId="3" type="noConversion"/>
  </si>
  <si>
    <t>9월</t>
    <phoneticPr fontId="3" type="noConversion"/>
  </si>
  <si>
    <t>10월</t>
    <phoneticPr fontId="3" type="noConversion"/>
  </si>
  <si>
    <t>11월</t>
    <phoneticPr fontId="3" type="noConversion"/>
  </si>
  <si>
    <t>12월</t>
    <phoneticPr fontId="3" type="noConversion"/>
  </si>
  <si>
    <t>심사원</t>
    <phoneticPr fontId="3" type="noConversion"/>
  </si>
  <si>
    <t>기타</t>
    <phoneticPr fontId="3" type="noConversion"/>
  </si>
  <si>
    <t>완료여부</t>
    <phoneticPr fontId="3" type="noConversion"/>
  </si>
  <si>
    <t>국내</t>
    <phoneticPr fontId="3" type="noConversion"/>
  </si>
  <si>
    <t>정비본부,운항지점</t>
    <phoneticPr fontId="3" type="noConversion"/>
  </si>
  <si>
    <t>1년</t>
    <phoneticPr fontId="3" type="noConversion"/>
  </si>
  <si>
    <t>P</t>
    <phoneticPr fontId="3" type="noConversion"/>
  </si>
  <si>
    <t>박병권</t>
    <phoneticPr fontId="3" type="noConversion"/>
  </si>
  <si>
    <t>정비본부</t>
    <phoneticPr fontId="3" type="noConversion"/>
  </si>
  <si>
    <t>해외</t>
    <phoneticPr fontId="3" type="noConversion"/>
  </si>
  <si>
    <t>운항지점</t>
    <phoneticPr fontId="3" type="noConversion"/>
  </si>
  <si>
    <t>유준열</t>
    <phoneticPr fontId="3" type="noConversion"/>
  </si>
  <si>
    <t>주요정비업체</t>
    <phoneticPr fontId="3" type="noConversion"/>
  </si>
  <si>
    <t>TW-MNT-010 정비기지공항</t>
    <phoneticPr fontId="3" type="noConversion"/>
  </si>
  <si>
    <t>원대연</t>
    <phoneticPr fontId="3" type="noConversion"/>
  </si>
  <si>
    <t>박현</t>
    <phoneticPr fontId="3" type="noConversion"/>
  </si>
  <si>
    <t>국내 운항지점</t>
    <phoneticPr fontId="3" type="noConversion"/>
  </si>
  <si>
    <t>TW-MNT-007
주재정비공항</t>
    <phoneticPr fontId="3" type="noConversion"/>
  </si>
  <si>
    <t>이진성</t>
    <phoneticPr fontId="3" type="noConversion"/>
  </si>
  <si>
    <t>PUS (부산)</t>
    <phoneticPr fontId="3" type="noConversion"/>
  </si>
  <si>
    <t>해외 운항지점</t>
    <phoneticPr fontId="3" type="noConversion"/>
  </si>
  <si>
    <t>최병근</t>
    <phoneticPr fontId="3" type="noConversion"/>
  </si>
  <si>
    <t>권혁</t>
    <phoneticPr fontId="3" type="noConversion"/>
  </si>
  <si>
    <t>심사 일자(계획)</t>
    <phoneticPr fontId="3" type="noConversion"/>
  </si>
  <si>
    <t>심사 대상</t>
  </si>
  <si>
    <t>비 고</t>
  </si>
  <si>
    <t>변경 요약</t>
    <phoneticPr fontId="3" type="noConversion"/>
  </si>
  <si>
    <t>성명</t>
    <phoneticPr fontId="3" type="noConversion"/>
  </si>
  <si>
    <t>Total</t>
    <phoneticPr fontId="3" type="noConversion"/>
  </si>
  <si>
    <t>심사번호</t>
  </si>
  <si>
    <t>심사원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</si>
  <si>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</si>
  <si>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</si>
  <si>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</si>
  <si>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</si>
  <si>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</si>
  <si>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</si>
  <si>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</si>
  <si>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</si>
  <si>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</si>
  <si>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</si>
  <si>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</si>
  <si>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</si>
  <si>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</si>
  <si>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</si>
  <si>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</si>
  <si>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정비본부 2024년도 CAR 현황</t>
  </si>
  <si>
    <t>지적사항 이행 확인
(차기 심사시 확인)</t>
  </si>
  <si>
    <t>No.</t>
  </si>
  <si>
    <t>CAR 번호</t>
  </si>
  <si>
    <t>Risk
Rating</t>
  </si>
  <si>
    <t>발행일</t>
  </si>
  <si>
    <t>Root 
Cause</t>
  </si>
  <si>
    <t>Finding Description</t>
  </si>
  <si>
    <t>Corrective Action</t>
  </si>
  <si>
    <t>조치기한</t>
  </si>
  <si>
    <t>조치일자</t>
  </si>
  <si>
    <t>완료
여부</t>
  </si>
  <si>
    <t>초도</t>
  </si>
  <si>
    <t>연장기한</t>
  </si>
  <si>
    <t/>
  </si>
  <si>
    <t>OPEN</t>
  </si>
  <si>
    <t>2025년도 품질심사 계획(일정 별)</t>
    <phoneticPr fontId="3" type="noConversion"/>
  </si>
  <si>
    <t>1월</t>
    <phoneticPr fontId="3" type="noConversion"/>
  </si>
  <si>
    <t>2월</t>
    <phoneticPr fontId="3" type="noConversion"/>
  </si>
  <si>
    <t>4월</t>
    <phoneticPr fontId="3" type="noConversion"/>
  </si>
  <si>
    <t>5월</t>
    <phoneticPr fontId="3" type="noConversion"/>
  </si>
  <si>
    <t>12월</t>
    <phoneticPr fontId="3" type="noConversion"/>
  </si>
  <si>
    <t>2025년도 CAR 발행현황</t>
  </si>
  <si>
    <t>대상</t>
  </si>
  <si>
    <t>test</t>
  </si>
  <si>
    <t>서류</t>
    <phoneticPr fontId="3" type="noConversion"/>
  </si>
  <si>
    <t>해외 붙여넣기 아래에</t>
    <phoneticPr fontId="3" type="noConversion"/>
  </si>
  <si>
    <t>국내 붙여넣기 아래에</t>
    <phoneticPr fontId="3" type="noConversion"/>
  </si>
  <si>
    <t>구분</t>
    <phoneticPr fontId="3" type="noConversion"/>
  </si>
  <si>
    <t>주요정비업체,협력,기술관리</t>
    <phoneticPr fontId="3" type="noConversion"/>
  </si>
  <si>
    <t>박현</t>
  </si>
  <si>
    <t>박병권</t>
  </si>
  <si>
    <t>최병근</t>
  </si>
  <si>
    <t>유준열</t>
  </si>
  <si>
    <t>KWJ (광주)</t>
  </si>
  <si>
    <t>원대연</t>
  </si>
  <si>
    <t>이진성</t>
  </si>
  <si>
    <t>CJU (제주)</t>
  </si>
  <si>
    <t>PUS (부산)</t>
  </si>
  <si>
    <t>CJJ (청주)</t>
  </si>
  <si>
    <t>TAE (대구)</t>
  </si>
  <si>
    <t>심사 항목
(Audit Item)</t>
    <phoneticPr fontId="3" type="noConversion"/>
  </si>
  <si>
    <t>점검표 (Audit Checklist)</t>
    <phoneticPr fontId="3" type="noConversion"/>
  </si>
  <si>
    <t>이전 품질심사 수행일자
(Previous Audit Date)</t>
    <phoneticPr fontId="3" type="noConversion"/>
  </si>
  <si>
    <t>1월</t>
    <phoneticPr fontId="3" type="noConversion"/>
  </si>
  <si>
    <t>4월</t>
    <phoneticPr fontId="3" type="noConversion"/>
  </si>
  <si>
    <t>7월</t>
    <phoneticPr fontId="3" type="noConversion"/>
  </si>
  <si>
    <t>8월</t>
    <phoneticPr fontId="3" type="noConversion"/>
  </si>
  <si>
    <t>9월</t>
    <phoneticPr fontId="3" type="noConversion"/>
  </si>
  <si>
    <t>10월</t>
    <phoneticPr fontId="3" type="noConversion"/>
  </si>
  <si>
    <t>11월</t>
    <phoneticPr fontId="3" type="noConversion"/>
  </si>
  <si>
    <t>내부</t>
    <phoneticPr fontId="3" type="noConversion"/>
  </si>
  <si>
    <t>정기</t>
    <phoneticPr fontId="3" type="noConversion"/>
  </si>
  <si>
    <t>국내</t>
    <phoneticPr fontId="3" type="noConversion"/>
  </si>
  <si>
    <t>정비본부</t>
    <phoneticPr fontId="3" type="noConversion"/>
  </si>
  <si>
    <t>정비본부</t>
    <phoneticPr fontId="3" type="noConversion"/>
  </si>
  <si>
    <t>정비본부</t>
    <phoneticPr fontId="3" type="noConversion"/>
  </si>
  <si>
    <t>국내 운항지점</t>
    <phoneticPr fontId="3" type="noConversion"/>
  </si>
  <si>
    <t>CJU (제주)</t>
    <phoneticPr fontId="3" type="noConversion"/>
  </si>
  <si>
    <t>TAE (대구)</t>
    <phoneticPr fontId="3" type="noConversion"/>
  </si>
  <si>
    <t>KWJ (광주)</t>
    <phoneticPr fontId="3" type="noConversion"/>
  </si>
  <si>
    <t>국내 운항지점</t>
    <phoneticPr fontId="3" type="noConversion"/>
  </si>
  <si>
    <t>CJJ (청주)</t>
    <phoneticPr fontId="3" type="noConversion"/>
  </si>
  <si>
    <t>해외 운항지점</t>
    <phoneticPr fontId="3" type="noConversion"/>
  </si>
  <si>
    <t>운항정비</t>
    <phoneticPr fontId="3" type="noConversion"/>
  </si>
  <si>
    <t>주요 
정비작업 업체</t>
    <phoneticPr fontId="3" type="noConversion"/>
  </si>
  <si>
    <t>운항정비위탁</t>
    <phoneticPr fontId="3" type="noConversion"/>
  </si>
  <si>
    <t>김주원</t>
    <phoneticPr fontId="3" type="noConversion"/>
  </si>
  <si>
    <t>박병권, 최병근</t>
  </si>
  <si>
    <t>송동훈</t>
    <phoneticPr fontId="3" type="noConversion"/>
  </si>
  <si>
    <t>유진우</t>
    <phoneticPr fontId="3" type="noConversion"/>
  </si>
  <si>
    <t>최문성</t>
    <phoneticPr fontId="3" type="noConversion"/>
  </si>
  <si>
    <t>정비 협력업체</t>
    <phoneticPr fontId="3" type="noConversion"/>
  </si>
  <si>
    <t>국내</t>
    <phoneticPr fontId="3" type="noConversion"/>
  </si>
  <si>
    <t>R</t>
    <phoneticPr fontId="3" type="noConversion"/>
  </si>
  <si>
    <t>P</t>
    <phoneticPr fontId="3" type="noConversion"/>
  </si>
  <si>
    <t>P</t>
    <phoneticPr fontId="3" type="noConversion"/>
  </si>
  <si>
    <t>서류</t>
  </si>
  <si>
    <t>국내</t>
  </si>
  <si>
    <t>해외</t>
  </si>
  <si>
    <t>김주원</t>
  </si>
  <si>
    <t>박병권, 이진성</t>
  </si>
  <si>
    <t>해외</t>
    <phoneticPr fontId="3" type="noConversion"/>
  </si>
  <si>
    <t>P</t>
    <phoneticPr fontId="3" type="noConversion"/>
  </si>
  <si>
    <t>해외</t>
    <phoneticPr fontId="3" type="noConversion"/>
  </si>
  <si>
    <t>국내</t>
    <phoneticPr fontId="3" type="noConversion"/>
  </si>
  <si>
    <t>송동훈, 김주원</t>
  </si>
  <si>
    <t>서류</t>
    <phoneticPr fontId="3" type="noConversion"/>
  </si>
  <si>
    <t>서류</t>
    <phoneticPr fontId="3" type="noConversion"/>
  </si>
  <si>
    <t>해외</t>
    <phoneticPr fontId="3" type="noConversion"/>
  </si>
  <si>
    <t>해외</t>
    <phoneticPr fontId="3" type="noConversion"/>
  </si>
  <si>
    <t>국내</t>
    <phoneticPr fontId="3" type="noConversion"/>
  </si>
  <si>
    <t>2026년 수행일자</t>
    <phoneticPr fontId="3" type="noConversion"/>
  </si>
  <si>
    <t>SPN (사이판)</t>
    <phoneticPr fontId="3" type="noConversion"/>
  </si>
  <si>
    <t>KLO (칼리보)</t>
    <phoneticPr fontId="3" type="noConversion"/>
  </si>
  <si>
    <t>CEB (세부)</t>
    <phoneticPr fontId="3" type="noConversion"/>
  </si>
  <si>
    <t>KIX (오사카)</t>
    <phoneticPr fontId="3" type="noConversion"/>
  </si>
  <si>
    <t>FUK (후쿠오카)</t>
    <phoneticPr fontId="3" type="noConversion"/>
  </si>
  <si>
    <t>NRT (나리타)</t>
    <phoneticPr fontId="3" type="noConversion"/>
  </si>
  <si>
    <t>BKI (코타키나발루)</t>
    <phoneticPr fontId="3" type="noConversion"/>
  </si>
  <si>
    <t>UBN (울란바토르)</t>
    <phoneticPr fontId="3" type="noConversion"/>
  </si>
  <si>
    <t>FRU (비슈케크)</t>
    <phoneticPr fontId="3" type="noConversion"/>
  </si>
  <si>
    <t>EASTEC (PKX 베이징)</t>
    <phoneticPr fontId="3" type="noConversion"/>
  </si>
  <si>
    <t>Southern (SHE 선양)</t>
    <phoneticPr fontId="3" type="noConversion"/>
  </si>
  <si>
    <t>VAECO (HAN 하노이)</t>
    <phoneticPr fontId="3" type="noConversion"/>
  </si>
  <si>
    <t>VAECO (DAD 다낭)</t>
    <phoneticPr fontId="3" type="noConversion"/>
  </si>
  <si>
    <t>SIAEC (SIN 싱가포르)</t>
    <phoneticPr fontId="3" type="noConversion"/>
  </si>
  <si>
    <t>Heston MRO (SYD 시드니)</t>
    <phoneticPr fontId="3" type="noConversion"/>
  </si>
  <si>
    <t>Avia Technics (ZAG 자그레브)</t>
    <phoneticPr fontId="3" type="noConversion"/>
  </si>
  <si>
    <t>Atitech (FRA 프랑크푸르트)</t>
    <phoneticPr fontId="3" type="noConversion"/>
  </si>
  <si>
    <t>HAESL (HKG)</t>
    <phoneticPr fontId="3" type="noConversion"/>
  </si>
  <si>
    <t>Standard Aero (위니펙)</t>
    <phoneticPr fontId="3" type="noConversion"/>
  </si>
  <si>
    <t>EASTEC (KMG 쿤밍)</t>
    <phoneticPr fontId="3" type="noConversion"/>
  </si>
  <si>
    <t>STAECO (TNA 지난)</t>
    <phoneticPr fontId="3" type="noConversion"/>
  </si>
  <si>
    <t>HAECO (XMN 샤먼)</t>
    <phoneticPr fontId="3" type="noConversion"/>
  </si>
  <si>
    <t>대한항공 (기술관리)</t>
    <phoneticPr fontId="3" type="noConversion"/>
  </si>
  <si>
    <t>Sharp Technics K</t>
    <phoneticPr fontId="3" type="noConversion"/>
  </si>
  <si>
    <t>DMT</t>
    <phoneticPr fontId="3" type="noConversion"/>
  </si>
  <si>
    <t>중국</t>
    <phoneticPr fontId="3" type="noConversion"/>
  </si>
  <si>
    <t>베트남</t>
    <phoneticPr fontId="3" type="noConversion"/>
  </si>
  <si>
    <t>싱가폴</t>
    <phoneticPr fontId="3" type="noConversion"/>
  </si>
  <si>
    <t>호주</t>
    <phoneticPr fontId="3" type="noConversion"/>
  </si>
  <si>
    <t>크로아티아</t>
    <phoneticPr fontId="3" type="noConversion"/>
  </si>
  <si>
    <t>독일</t>
    <phoneticPr fontId="3" type="noConversion"/>
  </si>
  <si>
    <t>홍콩</t>
    <phoneticPr fontId="3" type="noConversion"/>
  </si>
  <si>
    <t>국내</t>
    <phoneticPr fontId="3" type="noConversion"/>
  </si>
  <si>
    <t>캐나다</t>
    <phoneticPr fontId="3" type="noConversion"/>
  </si>
  <si>
    <t>중국</t>
    <phoneticPr fontId="3" type="noConversion"/>
  </si>
  <si>
    <t>엔진
중정비</t>
    <phoneticPr fontId="3" type="noConversion"/>
  </si>
  <si>
    <t>기술관리/
품질관리</t>
    <phoneticPr fontId="3" type="noConversion"/>
  </si>
  <si>
    <t>항공기
중정비</t>
    <phoneticPr fontId="3" type="noConversion"/>
  </si>
  <si>
    <t>W/T</t>
    <phoneticPr fontId="3" type="noConversion"/>
  </si>
  <si>
    <t>P</t>
    <phoneticPr fontId="3" type="noConversion"/>
  </si>
  <si>
    <t>P</t>
    <phoneticPr fontId="3" type="noConversion"/>
  </si>
  <si>
    <t>P</t>
    <phoneticPr fontId="3" type="noConversion"/>
  </si>
  <si>
    <t>P</t>
    <phoneticPr fontId="3" type="noConversion"/>
  </si>
  <si>
    <t>미국</t>
    <phoneticPr fontId="3" type="noConversion"/>
  </si>
  <si>
    <t>필리핀</t>
    <phoneticPr fontId="3" type="noConversion"/>
  </si>
  <si>
    <t>일본</t>
    <phoneticPr fontId="3" type="noConversion"/>
  </si>
  <si>
    <t>말레이시아</t>
    <phoneticPr fontId="3" type="noConversion"/>
  </si>
  <si>
    <t>몽골</t>
    <phoneticPr fontId="3" type="noConversion"/>
  </si>
  <si>
    <t>2년
(직접 &amp; 간접 
순차 실시)</t>
    <phoneticPr fontId="3" type="noConversion"/>
  </si>
  <si>
    <t>P</t>
    <phoneticPr fontId="3" type="noConversion"/>
  </si>
  <si>
    <t>안전품질 심사로 대체</t>
    <phoneticPr fontId="3" type="noConversion"/>
  </si>
  <si>
    <t>China Airlines (TPE 타오위엔)</t>
    <phoneticPr fontId="3" type="noConversion"/>
  </si>
  <si>
    <t>China Airlines (TSA 송산)</t>
    <phoneticPr fontId="3" type="noConversion"/>
  </si>
  <si>
    <t>China Airlines (KHH 가오슝)</t>
    <phoneticPr fontId="3" type="noConversion"/>
  </si>
  <si>
    <t>대만</t>
    <phoneticPr fontId="3" type="noConversion"/>
  </si>
  <si>
    <t>TW-MNT-008
위탁정비업체</t>
    <phoneticPr fontId="3" type="noConversion"/>
  </si>
  <si>
    <t>TW-MNT-016
기술관리 위탁업체</t>
    <phoneticPr fontId="3" type="noConversion"/>
  </si>
  <si>
    <t>TW-MNT-MNT-013
도급업체</t>
    <phoneticPr fontId="3" type="noConversion"/>
  </si>
  <si>
    <t>국내정비위탁</t>
    <phoneticPr fontId="3" type="noConversion"/>
  </si>
  <si>
    <t>정비협력업체</t>
    <phoneticPr fontId="3" type="noConversion"/>
  </si>
  <si>
    <t>B38M 기종 추가</t>
    <phoneticPr fontId="3" type="noConversion"/>
  </si>
  <si>
    <t>2025.03.11~12(직)</t>
    <phoneticPr fontId="3" type="noConversion"/>
  </si>
  <si>
    <t>2025.08.18~19(직)</t>
    <phoneticPr fontId="3" type="noConversion"/>
  </si>
  <si>
    <t>2025.09.24(직)</t>
    <phoneticPr fontId="3" type="noConversion"/>
  </si>
  <si>
    <t>2025.04.29 ~ 05.02(직)</t>
    <phoneticPr fontId="3" type="noConversion"/>
  </si>
  <si>
    <t>2025.07.18(직)</t>
    <phoneticPr fontId="3" type="noConversion"/>
  </si>
  <si>
    <t>2025.05.29(직)</t>
    <phoneticPr fontId="3" type="noConversion"/>
  </si>
  <si>
    <t>2025.10.16(직)</t>
    <phoneticPr fontId="3" type="noConversion"/>
  </si>
  <si>
    <t>2025.11.20(직)</t>
    <phoneticPr fontId="3" type="noConversion"/>
  </si>
  <si>
    <t>2024.11.12(간)</t>
    <phoneticPr fontId="3" type="noConversion"/>
  </si>
  <si>
    <t>2024.11.12(간)</t>
    <phoneticPr fontId="3" type="noConversion"/>
  </si>
  <si>
    <t>2024.10.16(간)</t>
    <phoneticPr fontId="3" type="noConversion"/>
  </si>
  <si>
    <t>2024.11.11(간)</t>
    <phoneticPr fontId="3" type="noConversion"/>
  </si>
  <si>
    <t>2024.10.02(간)</t>
    <phoneticPr fontId="3" type="noConversion"/>
  </si>
  <si>
    <t>2024.11.22(간)</t>
    <phoneticPr fontId="3" type="noConversion"/>
  </si>
  <si>
    <t>2024.09.09(직)</t>
    <phoneticPr fontId="3" type="noConversion"/>
  </si>
  <si>
    <t>2024.09.12(직)</t>
    <phoneticPr fontId="3" type="noConversion"/>
  </si>
  <si>
    <t>2025.07.08~11(간)</t>
    <phoneticPr fontId="3" type="noConversion"/>
  </si>
  <si>
    <t>2025.07.07~09(간)</t>
    <phoneticPr fontId="3" type="noConversion"/>
  </si>
  <si>
    <t>2024.06.27~28(직)</t>
    <phoneticPr fontId="3" type="noConversion"/>
  </si>
  <si>
    <t>2024.10.08~11(직)</t>
    <phoneticPr fontId="3" type="noConversion"/>
  </si>
  <si>
    <t>2024.12.26(간)</t>
    <phoneticPr fontId="3" type="noConversion"/>
  </si>
  <si>
    <t>2024.12.26(간)</t>
    <phoneticPr fontId="3" type="noConversion"/>
  </si>
  <si>
    <t>2024.09.13(간)</t>
    <phoneticPr fontId="3" type="noConversion"/>
  </si>
  <si>
    <t>2024.02.15~16(직)</t>
    <phoneticPr fontId="3" type="noConversion"/>
  </si>
  <si>
    <t>2024.06.06~07(직)</t>
    <phoneticPr fontId="3" type="noConversion"/>
  </si>
  <si>
    <t>2024.09.05~06(직)</t>
    <phoneticPr fontId="3" type="noConversion"/>
  </si>
  <si>
    <t>2024.02.26~28(직)</t>
    <phoneticPr fontId="3" type="noConversion"/>
  </si>
  <si>
    <t>2024.03.05~07(직)</t>
    <phoneticPr fontId="3" type="noConversion"/>
  </si>
  <si>
    <t>2024.10.29~31(직)</t>
    <phoneticPr fontId="3" type="noConversion"/>
  </si>
  <si>
    <t>2023.10.25~27(직)</t>
    <phoneticPr fontId="3" type="noConversion"/>
  </si>
  <si>
    <t>2023.11.27~29(직)</t>
    <phoneticPr fontId="3" type="noConversion"/>
  </si>
  <si>
    <t>2024.06.18~20(직)</t>
    <phoneticPr fontId="3" type="noConversion"/>
  </si>
  <si>
    <t>2025.01.09(직)</t>
    <phoneticPr fontId="3" type="noConversion"/>
  </si>
  <si>
    <t>2025.05.23(직)</t>
    <phoneticPr fontId="3" type="noConversion"/>
  </si>
  <si>
    <t>2024.12.05~06(직)</t>
    <phoneticPr fontId="3" type="noConversion"/>
  </si>
  <si>
    <t>YNJ (연길)</t>
    <phoneticPr fontId="3" type="noConversion"/>
  </si>
  <si>
    <t>DYG (장자제)</t>
    <phoneticPr fontId="3" type="noConversion"/>
  </si>
  <si>
    <t>키르기스스탄</t>
    <phoneticPr fontId="3" type="noConversion"/>
  </si>
  <si>
    <t>외부</t>
    <phoneticPr fontId="3" type="noConversion"/>
  </si>
  <si>
    <t>HSG (사가)</t>
    <phoneticPr fontId="3" type="noConversion"/>
  </si>
  <si>
    <t>중국</t>
    <phoneticPr fontId="3" type="noConversion"/>
  </si>
  <si>
    <t>정비부문 각 부서</t>
    <phoneticPr fontId="3" type="noConversion"/>
  </si>
  <si>
    <t>항공기기술</t>
    <phoneticPr fontId="3" type="noConversion"/>
  </si>
  <si>
    <t>엔진기술</t>
    <phoneticPr fontId="3" type="noConversion"/>
  </si>
  <si>
    <t>정비기획</t>
    <phoneticPr fontId="3" type="noConversion"/>
  </si>
  <si>
    <t>정비자재</t>
    <phoneticPr fontId="3" type="noConversion"/>
  </si>
  <si>
    <t>정비통제</t>
    <phoneticPr fontId="3" type="noConversion"/>
  </si>
  <si>
    <t>운항정비 1,2</t>
    <phoneticPr fontId="3" type="noConversion"/>
  </si>
  <si>
    <t>부품수리</t>
    <phoneticPr fontId="3" type="noConversion"/>
  </si>
  <si>
    <t>정비품질</t>
    <phoneticPr fontId="3" type="noConversion"/>
  </si>
  <si>
    <t>TW-MNT-001 항공기기술</t>
    <phoneticPr fontId="3" type="noConversion"/>
  </si>
  <si>
    <t>TW-MNT-014 엔진기술</t>
    <phoneticPr fontId="3" type="noConversion"/>
  </si>
  <si>
    <t>TW-MNT-002 정비기획</t>
    <phoneticPr fontId="3" type="noConversion"/>
  </si>
  <si>
    <t>TW-MNT-003 정비자재</t>
    <phoneticPr fontId="3" type="noConversion"/>
  </si>
  <si>
    <t>TW-MNT-005 정비통제</t>
    <phoneticPr fontId="3" type="noConversion"/>
  </si>
  <si>
    <t>TW-MNT-012 부품수리</t>
    <phoneticPr fontId="3" type="noConversion"/>
  </si>
  <si>
    <t>중국</t>
    <phoneticPr fontId="3" type="noConversion"/>
  </si>
  <si>
    <t>일본</t>
    <phoneticPr fontId="3" type="noConversion"/>
  </si>
  <si>
    <t>2024.11.17(직)</t>
    <phoneticPr fontId="3" type="noConversion"/>
  </si>
  <si>
    <t>2024.09.30(직)</t>
    <phoneticPr fontId="3" type="noConversion"/>
  </si>
  <si>
    <t>2024.10.30(직)</t>
    <phoneticPr fontId="3" type="noConversion"/>
  </si>
  <si>
    <t>TW-MNT-006
탑승정비</t>
    <phoneticPr fontId="3" type="noConversion"/>
  </si>
  <si>
    <t>탑승정비공항 품질심사
(국토부 개선권고 사항)</t>
    <phoneticPr fontId="3" type="noConversion"/>
  </si>
  <si>
    <t>P</t>
    <phoneticPr fontId="3" type="noConversion"/>
  </si>
  <si>
    <t>p</t>
    <phoneticPr fontId="3" type="noConversion"/>
  </si>
  <si>
    <t>p</t>
    <phoneticPr fontId="3" type="noConversion"/>
  </si>
  <si>
    <t>권혁, 최병근</t>
    <phoneticPr fontId="3" type="noConversion"/>
  </si>
  <si>
    <t>이진성, 김주원</t>
  </si>
  <si>
    <t>이진성, 김주원</t>
    <phoneticPr fontId="3" type="noConversion"/>
  </si>
  <si>
    <t>박병권, 최병근</t>
    <phoneticPr fontId="3" type="noConversion"/>
  </si>
  <si>
    <t>원대연, 유준열</t>
  </si>
  <si>
    <t>원대연, 유준열</t>
    <phoneticPr fontId="3" type="noConversion"/>
  </si>
  <si>
    <t>박병권, 권혁</t>
  </si>
  <si>
    <t>박병권, 권혁</t>
    <phoneticPr fontId="3" type="noConversion"/>
  </si>
  <si>
    <t>이진성</t>
    <phoneticPr fontId="3" type="noConversion"/>
  </si>
  <si>
    <t>송동훈, 김주원</t>
    <phoneticPr fontId="3" type="noConversion"/>
  </si>
  <si>
    <t>원대연</t>
    <phoneticPr fontId="3" type="noConversion"/>
  </si>
  <si>
    <t>최병근</t>
    <phoneticPr fontId="3" type="noConversion"/>
  </si>
  <si>
    <t>권혁</t>
  </si>
  <si>
    <t>China Airlines (TPE 타오위엔)</t>
  </si>
  <si>
    <t>China Airlines (TSA 송산)</t>
  </si>
  <si>
    <t>China Airlines (KHH 가오슝)</t>
  </si>
  <si>
    <t>부품수리</t>
  </si>
  <si>
    <t>Heston MRO (SYD 시드니)</t>
  </si>
  <si>
    <t>EASTEC (KMG 쿤밍)</t>
  </si>
  <si>
    <t>대한항공 (기술관리)</t>
  </si>
  <si>
    <t>정비자재</t>
  </si>
  <si>
    <t>정비품질</t>
  </si>
  <si>
    <t>STAECO (TNA 지난)</t>
  </si>
  <si>
    <t>엔진기술</t>
  </si>
  <si>
    <t>정비기획</t>
  </si>
  <si>
    <t>정비통제</t>
  </si>
  <si>
    <t>운항정비 1,2</t>
  </si>
  <si>
    <t>SPN (사이판)</t>
  </si>
  <si>
    <t>DMT</t>
  </si>
  <si>
    <t>CEB (세부)</t>
  </si>
  <si>
    <t>EASTEC (PKX 베이징)</t>
  </si>
  <si>
    <t>Avia Technics (ZAG 자그레브)</t>
  </si>
  <si>
    <t>Sharp Technics K</t>
  </si>
  <si>
    <t>Standard Aero (위니펙)</t>
  </si>
  <si>
    <t>YNJ (연길)</t>
  </si>
  <si>
    <t>HAESL (HKG)</t>
  </si>
  <si>
    <t>KLO (칼리보)</t>
  </si>
  <si>
    <t>KIX (오사카)</t>
  </si>
  <si>
    <t>BKI (코타키나발루)</t>
  </si>
  <si>
    <t>VAECO (HAN 하노이)</t>
  </si>
  <si>
    <t>VAECO (DAD 다낭)</t>
  </si>
  <si>
    <t>FUK (후쿠오카)</t>
  </si>
  <si>
    <t>UBN (울란바토르)</t>
  </si>
  <si>
    <t>FRU (비슈케크)</t>
  </si>
  <si>
    <t>SIAEC (SIN 싱가포르)</t>
  </si>
  <si>
    <t>Atitech (FRA 프랑크푸르트)</t>
  </si>
  <si>
    <t>NRT (나리타)</t>
  </si>
  <si>
    <t>Southern (SHE 선양)</t>
  </si>
  <si>
    <t>HAECO (XMN 샤먼)</t>
  </si>
  <si>
    <t>송동훈</t>
  </si>
  <si>
    <t>원대연</t>
    <phoneticPr fontId="3" type="noConversion"/>
  </si>
  <si>
    <t>원대연</t>
    <phoneticPr fontId="3" type="noConversion"/>
  </si>
  <si>
    <t>최병근</t>
    <phoneticPr fontId="3" type="noConversion"/>
  </si>
  <si>
    <t>원대연, 최병근</t>
  </si>
  <si>
    <t>원대연, 최병근</t>
    <phoneticPr fontId="3" type="noConversion"/>
  </si>
  <si>
    <t>박병권, 이진성</t>
    <phoneticPr fontId="3" type="noConversion"/>
  </si>
  <si>
    <t>송동훈, 박현</t>
  </si>
  <si>
    <t>송동훈, 박현</t>
    <phoneticPr fontId="3" type="noConversion"/>
  </si>
  <si>
    <t>권혁, 김주원</t>
  </si>
  <si>
    <t>권혁, 김주원</t>
    <phoneticPr fontId="3" type="noConversion"/>
  </si>
  <si>
    <t xml:space="preserve"> </t>
    <phoneticPr fontId="3" type="noConversion"/>
  </si>
  <si>
    <t>유준열</t>
    <phoneticPr fontId="3" type="noConversion"/>
  </si>
  <si>
    <t>박병권</t>
    <phoneticPr fontId="3" type="noConversion"/>
  </si>
  <si>
    <t>권혁</t>
    <phoneticPr fontId="3" type="noConversion"/>
  </si>
  <si>
    <t>김주원</t>
    <phoneticPr fontId="3" type="noConversion"/>
  </si>
  <si>
    <t>권혁</t>
    <phoneticPr fontId="3" type="noConversion"/>
  </si>
  <si>
    <t>유준열</t>
    <phoneticPr fontId="3" type="noConversion"/>
  </si>
  <si>
    <t>김주원</t>
    <phoneticPr fontId="3" type="noConversion"/>
  </si>
  <si>
    <t>이진성</t>
    <phoneticPr fontId="3" type="noConversion"/>
  </si>
  <si>
    <t>초도</t>
    <phoneticPr fontId="3" type="noConversion"/>
  </si>
  <si>
    <t>STARCO (SHA 상하이)</t>
    <phoneticPr fontId="3" type="noConversion"/>
  </si>
  <si>
    <t>P:계획, I:진행중, R:보고완료, O:지연</t>
  </si>
  <si>
    <t>중정비위탁</t>
    <phoneticPr fontId="3" type="noConversion"/>
  </si>
  <si>
    <t>STARCO (SHA 상하이)</t>
  </si>
  <si>
    <t>인도네시아</t>
    <phoneticPr fontId="3" type="noConversion"/>
  </si>
  <si>
    <t>GMF (CGK 자카르타)</t>
    <phoneticPr fontId="3" type="noConversion"/>
  </si>
  <si>
    <t>초도</t>
    <phoneticPr fontId="3" type="noConversion"/>
  </si>
  <si>
    <t>원대연, 이진성</t>
    <phoneticPr fontId="3" type="noConversion"/>
  </si>
  <si>
    <t>박병권</t>
    <phoneticPr fontId="3" type="noConversion"/>
  </si>
  <si>
    <t>싱가폴</t>
    <phoneticPr fontId="3" type="noConversion"/>
  </si>
  <si>
    <t>ST Engineering Aerospace Engines</t>
    <phoneticPr fontId="3" type="noConversion"/>
  </si>
  <si>
    <t>2025.12.31</t>
    <phoneticPr fontId="3" type="noConversion"/>
  </si>
  <si>
    <t>최병근</t>
    <phoneticPr fontId="3" type="noConversion"/>
  </si>
  <si>
    <t>R</t>
    <phoneticPr fontId="3" type="noConversion"/>
  </si>
  <si>
    <t>2026.02.02 ~ 02.05</t>
    <phoneticPr fontId="3" type="noConversion"/>
  </si>
  <si>
    <t>2025.12.29(직)</t>
    <phoneticPr fontId="3" type="noConversion"/>
  </si>
  <si>
    <t>2025.12.22(직)</t>
    <phoneticPr fontId="3" type="noConversion"/>
  </si>
  <si>
    <t>2025.11.27(직)</t>
    <phoneticPr fontId="3" type="noConversion"/>
  </si>
  <si>
    <t>2025.12.12(직)</t>
    <phoneticPr fontId="3" type="noConversion"/>
  </si>
  <si>
    <t>2025.12.17~18(직)</t>
    <phoneticPr fontId="3" type="noConversion"/>
  </si>
  <si>
    <t>LEAP-1B 엔진 추가</t>
    <phoneticPr fontId="3" type="noConversion"/>
  </si>
  <si>
    <t>아랍에미레이트</t>
    <phoneticPr fontId="3" type="noConversion"/>
  </si>
  <si>
    <t>초도</t>
    <phoneticPr fontId="3" type="noConversion"/>
  </si>
  <si>
    <t>SANAD Aerotech (AUH)</t>
    <phoneticPr fontId="3" type="noConversion"/>
  </si>
  <si>
    <t>미정</t>
    <phoneticPr fontId="3" type="noConversion"/>
  </si>
  <si>
    <t>Trent700 (MOLIT 심사 10월 )</t>
    <phoneticPr fontId="3" type="noConversion"/>
  </si>
  <si>
    <t>이진성</t>
    <phoneticPr fontId="3" type="noConversion"/>
  </si>
  <si>
    <t>Mandarin Airlines (RMQ 타이중)</t>
  </si>
  <si>
    <t>Mandarin Airlines (RMQ 타이중)</t>
    <phoneticPr fontId="3" type="noConversion"/>
  </si>
  <si>
    <t>EASTEC (TNA 지난)</t>
  </si>
  <si>
    <t>EASTEC (TNA 지난)</t>
    <phoneticPr fontId="3" type="noConversion"/>
  </si>
  <si>
    <t>원대연, 이진성</t>
  </si>
  <si>
    <t>GMF (CGK 자카르타)</t>
  </si>
  <si>
    <t>ST Engineering Aerospace Engines</t>
  </si>
  <si>
    <t>미정</t>
  </si>
  <si>
    <t>SANAD Aerotech (AUH)</t>
  </si>
  <si>
    <t>국내</t>
    <phoneticPr fontId="3" type="noConversion"/>
  </si>
  <si>
    <t>해외</t>
    <phoneticPr fontId="3" type="noConversion"/>
  </si>
  <si>
    <t>서류</t>
    <phoneticPr fontId="3" type="noConversion"/>
  </si>
  <si>
    <t>박영일</t>
    <phoneticPr fontId="3" type="noConversion"/>
  </si>
  <si>
    <t>곽성주</t>
    <phoneticPr fontId="3" type="noConversion"/>
  </si>
  <si>
    <t>R</t>
    <phoneticPr fontId="3" type="noConversion"/>
  </si>
  <si>
    <t>R</t>
    <phoneticPr fontId="3" type="noConversion"/>
  </si>
  <si>
    <t>R</t>
    <phoneticPr fontId="3" type="noConversion"/>
  </si>
  <si>
    <t>2026.03.17 ~ 19</t>
    <phoneticPr fontId="3" type="noConversion"/>
  </si>
  <si>
    <t>2026.03.25</t>
    <phoneticPr fontId="3" type="noConversion"/>
  </si>
  <si>
    <t>2026.02.25 ~ 26</t>
    <phoneticPr fontId="3" type="noConversion"/>
  </si>
  <si>
    <t>2026.03.06</t>
    <phoneticPr fontId="3" type="noConversion"/>
  </si>
  <si>
    <t>2026.03.09</t>
    <phoneticPr fontId="3" type="noConversion"/>
  </si>
  <si>
    <t>2026.03.18</t>
    <phoneticPr fontId="3" type="noConversion"/>
  </si>
  <si>
    <t>2026.03.26</t>
    <phoneticPr fontId="3" type="noConversion"/>
  </si>
  <si>
    <t>P</t>
    <phoneticPr fontId="3" type="noConversion"/>
  </si>
  <si>
    <t>P</t>
    <phoneticPr fontId="3" type="noConversion"/>
  </si>
  <si>
    <t>초도</t>
    <phoneticPr fontId="3" type="noConversion"/>
  </si>
  <si>
    <t>EASTEC (TAO 칭타오)</t>
    <phoneticPr fontId="3" type="noConversion"/>
  </si>
  <si>
    <t>A330 추가</t>
    <phoneticPr fontId="3" type="noConversion"/>
  </si>
  <si>
    <t>R</t>
    <phoneticPr fontId="3" type="noConversion"/>
  </si>
  <si>
    <t>유준열</t>
    <phoneticPr fontId="3" type="noConversion"/>
  </si>
  <si>
    <t>R</t>
    <phoneticPr fontId="3" type="noConversion"/>
  </si>
  <si>
    <t>2026.04.08</t>
    <phoneticPr fontId="3" type="noConversion"/>
  </si>
  <si>
    <t>P</t>
    <phoneticPr fontId="3" type="noConversion"/>
  </si>
  <si>
    <t>P</t>
    <phoneticPr fontId="3" type="noConversion"/>
  </si>
  <si>
    <t>비운항으로 스케쥴 조정</t>
    <phoneticPr fontId="3" type="noConversion"/>
  </si>
  <si>
    <t>김주원, 유준열</t>
    <phoneticPr fontId="3" type="noConversion"/>
  </si>
  <si>
    <t>P</t>
    <phoneticPr fontId="3" type="noConversion"/>
  </si>
  <si>
    <t>지점 추가, A330 추가</t>
    <phoneticPr fontId="3" type="noConversion"/>
  </si>
  <si>
    <t>태국</t>
    <phoneticPr fontId="3" type="noConversion"/>
  </si>
  <si>
    <t>Thai Airways (CNX 치앙마이)</t>
    <phoneticPr fontId="3" type="noConversion"/>
  </si>
  <si>
    <t>박병권</t>
    <phoneticPr fontId="3" type="noConversion"/>
  </si>
  <si>
    <t>2025.10.15</t>
    <phoneticPr fontId="3" type="noConversion"/>
  </si>
  <si>
    <t>R</t>
    <phoneticPr fontId="3" type="noConversion"/>
  </si>
  <si>
    <t>R</t>
    <phoneticPr fontId="3" type="noConversion"/>
  </si>
  <si>
    <t>2026.06.16</t>
    <phoneticPr fontId="3" type="noConversion"/>
  </si>
  <si>
    <t>2026.04.10
2026.06.16</t>
    <phoneticPr fontId="3" type="noConversion"/>
  </si>
  <si>
    <t>B38M 기종 추가</t>
    <phoneticPr fontId="3" type="noConversion"/>
  </si>
  <si>
    <t>2026년도 정비부문 품질심사 계획 (R.4)</t>
    <phoneticPr fontId="3" type="noConversion"/>
  </si>
  <si>
    <t>2026.05.29</t>
    <phoneticPr fontId="3" type="noConversion"/>
  </si>
  <si>
    <t>2026.06.18</t>
    <phoneticPr fontId="3" type="noConversion"/>
  </si>
  <si>
    <t>대동금속</t>
    <phoneticPr fontId="3" type="noConversion"/>
  </si>
  <si>
    <t>최병근</t>
    <phoneticPr fontId="3" type="noConversion"/>
  </si>
  <si>
    <t>곽성주 SM OJT</t>
    <phoneticPr fontId="3" type="noConversion"/>
  </si>
  <si>
    <t>박영일 CM OJT</t>
    <phoneticPr fontId="3" type="noConversion"/>
  </si>
  <si>
    <t>R</t>
    <phoneticPr fontId="3" type="noConversion"/>
  </si>
  <si>
    <t>R</t>
    <phoneticPr fontId="3" type="noConversion"/>
  </si>
  <si>
    <t>박현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</si>
</sst>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2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20"/>
      <name val="Monaco"/>
      <family val="3"/>
    </font>
    <font>
      <sz val="12"/>
      <name val="맑은 고딕"/>
      <family val="3"/>
      <charset val="129"/>
      <scheme val="minor"/>
    </font>
    <font>
      <sz val="11.5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1.5"/>
      <color theme="1"/>
      <name val="맑은 고딕"/>
      <family val="2"/>
      <charset val="129"/>
      <scheme val="minor"/>
    </font>
    <font>
      <b/>
      <sz val="16"/>
      <color rgb="FF000000"/>
      <name val="맑은 고딕"/>
      <family val="3"/>
      <charset val="129"/>
      <scheme val="minor"/>
    </font>
    <font>
      <b/>
      <i/>
      <sz val="11"/>
      <color rgb="FF000000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u/>
      <sz val="12"/>
      <color rgb="FF3333FF"/>
      <name val="맑은 고딕"/>
      <family val="3"/>
      <charset val="129"/>
      <scheme val="minor"/>
    </font>
    <font>
      <b/>
      <u/>
      <sz val="12"/>
      <color rgb="FF3333FF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2"/>
      <color rgb="FFFF0000"/>
      <name val="맑은 고딕"/>
      <family val="3"/>
      <charset val="129"/>
      <scheme val="minor"/>
    </font>
    <font>
      <sz val="11.5"/>
      <name val="맑은 고딕"/>
      <family val="3"/>
      <charset val="129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6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theme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>
      <alignment vertical="center"/>
    </xf>
    <xf numFmtId="0" fontId="1" fillId="2" borderId="1" applyNumberFormat="0" applyFont="0" applyAlignment="0" applyProtection="0">
      <alignment vertical="center"/>
    </xf>
    <xf numFmtId="0" fontId="1" fillId="0" borderId="0">
      <alignment vertical="center"/>
    </xf>
    <xf numFmtId="0" fontId="21" fillId="0" borderId="0" applyNumberFormat="0" applyFill="0" applyBorder="0" applyAlignment="0" applyProtection="0">
      <alignment vertical="center"/>
    </xf>
  </cellStyleXfs>
  <cellXfs count="292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8" fillId="0" borderId="0" xfId="0" applyFont="1">
      <alignment vertical="center"/>
    </xf>
    <xf numFmtId="0" fontId="0" fillId="0" borderId="0" xfId="0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2" applyFont="1">
      <alignment vertical="center"/>
    </xf>
    <xf numFmtId="0" fontId="11" fillId="0" borderId="0" xfId="2" applyFont="1" applyAlignment="1">
      <alignment horizontal="left" vertical="center"/>
    </xf>
    <xf numFmtId="0" fontId="11" fillId="0" borderId="0" xfId="2" applyFont="1">
      <alignment vertical="center"/>
    </xf>
    <xf numFmtId="0" fontId="11" fillId="0" borderId="0" xfId="2" applyFont="1" applyAlignment="1">
      <alignment horizontal="center" vertical="center"/>
    </xf>
    <xf numFmtId="49" fontId="11" fillId="0" borderId="0" xfId="2" applyNumberFormat="1" applyFont="1" applyAlignment="1">
      <alignment horizontal="center" vertical="center"/>
    </xf>
    <xf numFmtId="14" fontId="14" fillId="0" borderId="0" xfId="2" applyNumberFormat="1" applyFont="1" applyAlignment="1">
      <alignment horizontal="center" vertical="center"/>
    </xf>
    <xf numFmtId="0" fontId="15" fillId="11" borderId="7" xfId="2" applyFont="1" applyFill="1" applyBorder="1" applyAlignment="1">
      <alignment horizontal="center" vertical="center" wrapText="1"/>
    </xf>
    <xf numFmtId="49" fontId="15" fillId="11" borderId="8" xfId="2" applyNumberFormat="1" applyFont="1" applyFill="1" applyBorder="1" applyAlignment="1">
      <alignment horizontal="center" vertical="center" wrapText="1"/>
    </xf>
    <xf numFmtId="0" fontId="15" fillId="11" borderId="9" xfId="2" applyFont="1" applyFill="1" applyBorder="1" applyAlignment="1">
      <alignment horizontal="center" vertical="center" wrapText="1"/>
    </xf>
    <xf numFmtId="0" fontId="15" fillId="11" borderId="10" xfId="2" applyFont="1" applyFill="1" applyBorder="1" applyAlignment="1">
      <alignment horizontal="center" vertical="center" wrapText="1"/>
    </xf>
    <xf numFmtId="0" fontId="11" fillId="0" borderId="5" xfId="2" applyFont="1" applyBorder="1" applyAlignment="1">
      <alignment horizontal="center" vertical="center"/>
    </xf>
    <xf numFmtId="49" fontId="11" fillId="0" borderId="5" xfId="2" applyNumberFormat="1" applyFont="1" applyBorder="1" applyAlignment="1">
      <alignment horizontal="center" vertical="center"/>
    </xf>
    <xf numFmtId="0" fontId="11" fillId="0" borderId="5" xfId="2" applyFont="1" applyBorder="1">
      <alignment vertical="center"/>
    </xf>
    <xf numFmtId="0" fontId="15" fillId="11" borderId="5" xfId="2" applyFont="1" applyFill="1" applyBorder="1" applyAlignment="1">
      <alignment horizontal="center" vertical="center" wrapText="1"/>
    </xf>
    <xf numFmtId="3" fontId="11" fillId="0" borderId="5" xfId="2" applyNumberFormat="1" applyFont="1" applyBorder="1" applyAlignment="1">
      <alignment horizontal="center" vertical="center" wrapText="1"/>
    </xf>
    <xf numFmtId="0" fontId="15" fillId="11" borderId="2" xfId="2" applyFont="1" applyFill="1" applyBorder="1" applyAlignment="1">
      <alignment horizontal="center" vertical="center" wrapText="1"/>
    </xf>
    <xf numFmtId="49" fontId="15" fillId="13" borderId="0" xfId="2" applyNumberFormat="1" applyFont="1" applyFill="1" applyAlignment="1">
      <alignment horizontal="center" vertical="center"/>
    </xf>
    <xf numFmtId="0" fontId="0" fillId="14" borderId="0" xfId="0" applyFill="1">
      <alignment vertical="center"/>
    </xf>
    <xf numFmtId="0" fontId="0" fillId="10" borderId="0" xfId="0" applyFill="1">
      <alignment vertical="center"/>
    </xf>
    <xf numFmtId="0" fontId="0" fillId="12" borderId="0" xfId="0" applyFill="1">
      <alignment vertical="center"/>
    </xf>
    <xf numFmtId="0" fontId="17" fillId="0" borderId="0" xfId="0" applyFont="1">
      <alignment vertical="center"/>
    </xf>
    <xf numFmtId="0" fontId="9" fillId="10" borderId="5" xfId="0" applyFont="1" applyFill="1" applyBorder="1" applyAlignment="1">
      <alignment horizontal="center" vertical="center"/>
    </xf>
    <xf numFmtId="49" fontId="13" fillId="0" borderId="0" xfId="2" applyNumberFormat="1" applyFont="1" applyAlignment="1">
      <alignment horizontal="center" vertical="center"/>
    </xf>
    <xf numFmtId="0" fontId="18" fillId="9" borderId="5" xfId="0" applyFont="1" applyFill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8" borderId="4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5" fillId="5" borderId="21" xfId="0" applyFont="1" applyFill="1" applyBorder="1" applyAlignment="1">
      <alignment horizontal="center" vertical="center"/>
    </xf>
    <xf numFmtId="0" fontId="5" fillId="5" borderId="20" xfId="0" applyFont="1" applyFill="1" applyBorder="1" applyAlignment="1">
      <alignment horizontal="center" vertical="center"/>
    </xf>
    <xf numFmtId="0" fontId="5" fillId="5" borderId="22" xfId="0" applyFont="1" applyFill="1" applyBorder="1" applyAlignment="1">
      <alignment horizontal="center" vertical="center"/>
    </xf>
    <xf numFmtId="0" fontId="18" fillId="9" borderId="6" xfId="0" quotePrefix="1" applyFont="1" applyFill="1" applyBorder="1" applyAlignment="1">
      <alignment horizontal="center" vertical="center"/>
    </xf>
    <xf numFmtId="0" fontId="9" fillId="9" borderId="5" xfId="0" quotePrefix="1" applyFont="1" applyFill="1" applyBorder="1" applyAlignment="1">
      <alignment horizontal="center" vertical="center"/>
    </xf>
    <xf numFmtId="0" fontId="11" fillId="0" borderId="5" xfId="2" applyFont="1" applyFill="1" applyBorder="1" applyAlignment="1">
      <alignment horizontal="center" vertical="center" wrapText="1"/>
    </xf>
    <xf numFmtId="49" fontId="11" fillId="0" borderId="5" xfId="2" applyNumberFormat="1" applyFont="1" applyFill="1" applyBorder="1" applyAlignment="1">
      <alignment horizontal="center" vertical="center" wrapText="1"/>
    </xf>
    <xf numFmtId="0" fontId="11" fillId="0" borderId="0" xfId="2" applyFont="1" applyFill="1">
      <alignment vertical="center"/>
    </xf>
    <xf numFmtId="0" fontId="11" fillId="0" borderId="0" xfId="2" applyFont="1" applyFill="1" applyAlignment="1">
      <alignment horizontal="center" vertical="center"/>
    </xf>
    <xf numFmtId="49" fontId="11" fillId="0" borderId="5" xfId="0" applyNumberFormat="1" applyFont="1" applyFill="1" applyBorder="1" applyAlignment="1">
      <alignment horizontal="center" vertical="center" wrapText="1"/>
    </xf>
    <xf numFmtId="49" fontId="11" fillId="0" borderId="5" xfId="2" applyNumberFormat="1" applyFont="1" applyFill="1" applyBorder="1" applyAlignment="1">
      <alignment horizontal="center" vertical="center"/>
    </xf>
    <xf numFmtId="0" fontId="11" fillId="0" borderId="5" xfId="2" applyFont="1" applyFill="1" applyBorder="1" applyAlignment="1">
      <alignment horizontal="center" vertical="center"/>
    </xf>
    <xf numFmtId="49" fontId="11" fillId="0" borderId="5" xfId="0" applyNumberFormat="1" applyFont="1" applyFill="1" applyBorder="1" applyAlignment="1">
      <alignment horizontal="center" vertical="center"/>
    </xf>
    <xf numFmtId="49" fontId="16" fillId="0" borderId="5" xfId="2" applyNumberFormat="1" applyFont="1" applyFill="1" applyBorder="1" applyAlignment="1">
      <alignment horizontal="center" vertical="center" wrapText="1"/>
    </xf>
    <xf numFmtId="0" fontId="16" fillId="0" borderId="5" xfId="2" applyFont="1" applyFill="1" applyBorder="1" applyAlignment="1">
      <alignment horizontal="center" vertical="center" wrapText="1"/>
    </xf>
    <xf numFmtId="0" fontId="11" fillId="0" borderId="5" xfId="0" applyFont="1" applyFill="1" applyBorder="1" applyAlignment="1">
      <alignment horizontal="center" vertical="center"/>
    </xf>
    <xf numFmtId="0" fontId="11" fillId="0" borderId="5" xfId="2" applyFont="1" applyFill="1" applyBorder="1">
      <alignment vertical="center"/>
    </xf>
    <xf numFmtId="49" fontId="15" fillId="11" borderId="26" xfId="2" applyNumberFormat="1" applyFont="1" applyFill="1" applyBorder="1" applyAlignment="1">
      <alignment horizontal="center" vertical="center" wrapText="1"/>
    </xf>
    <xf numFmtId="49" fontId="11" fillId="0" borderId="13" xfId="2" applyNumberFormat="1" applyFont="1" applyFill="1" applyBorder="1" applyAlignment="1">
      <alignment horizontal="center" vertical="center"/>
    </xf>
    <xf numFmtId="0" fontId="11" fillId="0" borderId="13" xfId="2" applyFont="1" applyFill="1" applyBorder="1" applyAlignment="1">
      <alignment horizontal="center" vertical="center" wrapText="1"/>
    </xf>
    <xf numFmtId="49" fontId="11" fillId="0" borderId="13" xfId="2" applyNumberFormat="1" applyFont="1" applyFill="1" applyBorder="1" applyAlignment="1">
      <alignment horizontal="center" vertical="center" wrapText="1"/>
    </xf>
    <xf numFmtId="0" fontId="11" fillId="0" borderId="14" xfId="2" applyFont="1" applyFill="1" applyBorder="1" applyAlignment="1">
      <alignment horizontal="center" vertical="center" wrapText="1"/>
    </xf>
    <xf numFmtId="0" fontId="11" fillId="0" borderId="12" xfId="2" applyFont="1" applyFill="1" applyBorder="1" applyAlignment="1">
      <alignment horizontal="center" vertical="center" wrapText="1"/>
    </xf>
    <xf numFmtId="0" fontId="11" fillId="0" borderId="12" xfId="2" applyFont="1" applyFill="1" applyBorder="1" applyAlignment="1">
      <alignment horizontal="center" vertical="center"/>
    </xf>
    <xf numFmtId="0" fontId="11" fillId="0" borderId="12" xfId="2" applyFont="1" applyBorder="1">
      <alignment vertical="center"/>
    </xf>
    <xf numFmtId="49" fontId="11" fillId="0" borderId="11" xfId="2" applyNumberFormat="1" applyFont="1" applyBorder="1" applyAlignment="1">
      <alignment horizontal="center" vertical="center"/>
    </xf>
    <xf numFmtId="0" fontId="11" fillId="0" borderId="11" xfId="2" applyFont="1" applyBorder="1">
      <alignment vertical="center"/>
    </xf>
    <xf numFmtId="0" fontId="11" fillId="0" borderId="15" xfId="2" applyFont="1" applyBorder="1">
      <alignment vertical="center"/>
    </xf>
    <xf numFmtId="49" fontId="11" fillId="0" borderId="3" xfId="2" applyNumberFormat="1" applyFont="1" applyFill="1" applyBorder="1" applyAlignment="1">
      <alignment horizontal="center" vertical="center" wrapText="1"/>
    </xf>
    <xf numFmtId="0" fontId="11" fillId="0" borderId="3" xfId="2" applyFont="1" applyFill="1" applyBorder="1" applyAlignment="1">
      <alignment horizontal="center" vertical="center" wrapText="1"/>
    </xf>
    <xf numFmtId="0" fontId="11" fillId="0" borderId="28" xfId="2" applyFont="1" applyFill="1" applyBorder="1" applyAlignment="1">
      <alignment horizontal="center" vertical="center" wrapText="1"/>
    </xf>
    <xf numFmtId="49" fontId="11" fillId="0" borderId="11" xfId="2" applyNumberFormat="1" applyFont="1" applyFill="1" applyBorder="1" applyAlignment="1">
      <alignment horizontal="center" vertical="center" wrapText="1"/>
    </xf>
    <xf numFmtId="0" fontId="11" fillId="0" borderId="11" xfId="2" applyFont="1" applyFill="1" applyBorder="1" applyAlignment="1">
      <alignment horizontal="center" vertical="center" wrapText="1"/>
    </xf>
    <xf numFmtId="0" fontId="11" fillId="0" borderId="15" xfId="2" applyFont="1" applyFill="1" applyBorder="1" applyAlignment="1">
      <alignment horizontal="center" vertical="center" wrapText="1"/>
    </xf>
    <xf numFmtId="49" fontId="11" fillId="0" borderId="6" xfId="2" applyNumberFormat="1" applyFont="1" applyFill="1" applyBorder="1" applyAlignment="1">
      <alignment horizontal="center" vertical="center" wrapText="1"/>
    </xf>
    <xf numFmtId="0" fontId="11" fillId="0" borderId="6" xfId="2" applyFont="1" applyFill="1" applyBorder="1" applyAlignment="1">
      <alignment horizontal="center" vertical="center" wrapText="1"/>
    </xf>
    <xf numFmtId="0" fontId="11" fillId="0" borderId="25" xfId="2" applyFont="1" applyFill="1" applyBorder="1" applyAlignment="1">
      <alignment horizontal="center" vertical="center" wrapText="1"/>
    </xf>
    <xf numFmtId="49" fontId="11" fillId="0" borderId="3" xfId="0" applyNumberFormat="1" applyFont="1" applyFill="1" applyBorder="1" applyAlignment="1">
      <alignment horizontal="center" vertical="center" wrapText="1"/>
    </xf>
    <xf numFmtId="49" fontId="11" fillId="0" borderId="11" xfId="0" applyNumberFormat="1" applyFont="1" applyFill="1" applyBorder="1" applyAlignment="1">
      <alignment horizontal="center" vertical="center" wrapText="1"/>
    </xf>
    <xf numFmtId="49" fontId="11" fillId="0" borderId="6" xfId="2" applyNumberFormat="1" applyFont="1" applyFill="1" applyBorder="1" applyAlignment="1">
      <alignment horizontal="center" vertical="center"/>
    </xf>
    <xf numFmtId="0" fontId="11" fillId="0" borderId="6" xfId="2" applyFont="1" applyFill="1" applyBorder="1" applyAlignment="1">
      <alignment horizontal="center" vertical="center"/>
    </xf>
    <xf numFmtId="0" fontId="11" fillId="0" borderId="25" xfId="2" applyFont="1" applyFill="1" applyBorder="1" applyAlignment="1">
      <alignment horizontal="center" vertical="center"/>
    </xf>
    <xf numFmtId="0" fontId="11" fillId="0" borderId="13" xfId="2" applyFont="1" applyFill="1" applyBorder="1" applyAlignment="1">
      <alignment horizontal="center" vertical="center"/>
    </xf>
    <xf numFmtId="0" fontId="11" fillId="0" borderId="14" xfId="2" applyFont="1" applyFill="1" applyBorder="1" applyAlignment="1">
      <alignment horizontal="center" vertical="center"/>
    </xf>
    <xf numFmtId="49" fontId="11" fillId="0" borderId="3" xfId="2" applyNumberFormat="1" applyFont="1" applyBorder="1" applyAlignment="1">
      <alignment horizontal="center" vertical="center"/>
    </xf>
    <xf numFmtId="0" fontId="11" fillId="0" borderId="3" xfId="2" applyFont="1" applyBorder="1">
      <alignment vertical="center"/>
    </xf>
    <xf numFmtId="0" fontId="11" fillId="0" borderId="28" xfId="2" applyFont="1" applyBorder="1">
      <alignment vertical="center"/>
    </xf>
    <xf numFmtId="49" fontId="11" fillId="0" borderId="6" xfId="2" applyNumberFormat="1" applyFont="1" applyBorder="1" applyAlignment="1">
      <alignment horizontal="center" vertical="center"/>
    </xf>
    <xf numFmtId="0" fontId="11" fillId="0" borderId="6" xfId="2" applyFont="1" applyBorder="1">
      <alignment vertical="center"/>
    </xf>
    <xf numFmtId="0" fontId="11" fillId="0" borderId="25" xfId="2" applyFont="1" applyBorder="1">
      <alignment vertical="center"/>
    </xf>
    <xf numFmtId="49" fontId="11" fillId="0" borderId="13" xfId="2" applyNumberFormat="1" applyFont="1" applyBorder="1" applyAlignment="1">
      <alignment horizontal="center" vertical="center"/>
    </xf>
    <xf numFmtId="0" fontId="11" fillId="0" borderId="13" xfId="2" applyFont="1" applyBorder="1">
      <alignment vertical="center"/>
    </xf>
    <xf numFmtId="0" fontId="11" fillId="0" borderId="14" xfId="2" applyFont="1" applyBorder="1">
      <alignment vertical="center"/>
    </xf>
    <xf numFmtId="0" fontId="13" fillId="0" borderId="0" xfId="2" applyFont="1" applyAlignment="1">
      <alignment horizontal="center" vertical="center"/>
    </xf>
    <xf numFmtId="0" fontId="11" fillId="0" borderId="11" xfId="2" applyFont="1" applyBorder="1" applyAlignment="1">
      <alignment horizontal="center" vertical="center"/>
    </xf>
    <xf numFmtId="0" fontId="11" fillId="0" borderId="3" xfId="2" applyFont="1" applyBorder="1" applyAlignment="1">
      <alignment horizontal="center" vertical="center"/>
    </xf>
    <xf numFmtId="0" fontId="11" fillId="0" borderId="6" xfId="2" applyFont="1" applyBorder="1" applyAlignment="1">
      <alignment horizontal="center" vertical="center"/>
    </xf>
    <xf numFmtId="0" fontId="11" fillId="0" borderId="13" xfId="2" applyFont="1" applyBorder="1" applyAlignment="1">
      <alignment horizontal="center" vertical="center"/>
    </xf>
    <xf numFmtId="0" fontId="18" fillId="9" borderId="5" xfId="0" quotePrefix="1" applyFont="1" applyFill="1" applyBorder="1" applyAlignment="1">
      <alignment horizontal="center" vertical="center"/>
    </xf>
    <xf numFmtId="0" fontId="10" fillId="10" borderId="5" xfId="0" applyFont="1" applyFill="1" applyBorder="1" applyAlignment="1">
      <alignment horizontal="center" vertical="center"/>
    </xf>
    <xf numFmtId="0" fontId="6" fillId="10" borderId="5" xfId="0" applyFont="1" applyFill="1" applyBorder="1" applyAlignment="1">
      <alignment horizontal="center" vertical="center"/>
    </xf>
    <xf numFmtId="0" fontId="6" fillId="9" borderId="5" xfId="0" applyFont="1" applyFill="1" applyBorder="1" applyAlignment="1">
      <alignment horizontal="center" vertical="center"/>
    </xf>
    <xf numFmtId="0" fontId="6" fillId="9" borderId="5" xfId="1" applyFont="1" applyFill="1" applyBorder="1" applyAlignment="1">
      <alignment horizontal="center" vertical="center" wrapText="1"/>
    </xf>
    <xf numFmtId="0" fontId="21" fillId="0" borderId="0" xfId="3">
      <alignment vertical="center"/>
    </xf>
    <xf numFmtId="0" fontId="4" fillId="0" borderId="18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7" borderId="18" xfId="0" applyFont="1" applyFill="1" applyBorder="1" applyAlignment="1">
      <alignment horizontal="center" vertical="center"/>
    </xf>
    <xf numFmtId="0" fontId="4" fillId="7" borderId="5" xfId="0" applyFont="1" applyFill="1" applyBorder="1" applyAlignment="1">
      <alignment horizontal="center" vertical="center"/>
    </xf>
    <xf numFmtId="0" fontId="4" fillId="9" borderId="18" xfId="0" applyFont="1" applyFill="1" applyBorder="1" applyAlignment="1">
      <alignment horizontal="center" vertical="center"/>
    </xf>
    <xf numFmtId="0" fontId="4" fillId="9" borderId="5" xfId="0" applyFont="1" applyFill="1" applyBorder="1" applyAlignment="1">
      <alignment horizontal="center" vertical="center"/>
    </xf>
    <xf numFmtId="0" fontId="4" fillId="10" borderId="18" xfId="0" applyFont="1" applyFill="1" applyBorder="1" applyAlignment="1">
      <alignment horizontal="center" vertical="center"/>
    </xf>
    <xf numFmtId="0" fontId="4" fillId="10" borderId="5" xfId="0" applyFont="1" applyFill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6" fillId="10" borderId="5" xfId="1" applyFont="1" applyFill="1" applyBorder="1" applyAlignment="1">
      <alignment horizontal="center" vertical="center" wrapText="1"/>
    </xf>
    <xf numFmtId="0" fontId="9" fillId="9" borderId="5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15" borderId="4" xfId="0" applyFont="1" applyFill="1" applyBorder="1" applyAlignment="1">
      <alignment horizontal="center" vertical="center"/>
    </xf>
    <xf numFmtId="0" fontId="0" fillId="15" borderId="0" xfId="0" applyFill="1">
      <alignment vertical="center"/>
    </xf>
    <xf numFmtId="0" fontId="0" fillId="15" borderId="0" xfId="0" applyFill="1" applyAlignment="1">
      <alignment horizontal="right" vertical="center"/>
    </xf>
    <xf numFmtId="0" fontId="6" fillId="9" borderId="11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4" borderId="31" xfId="0" applyFont="1" applyFill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4" fillId="9" borderId="19" xfId="0" applyFont="1" applyFill="1" applyBorder="1" applyAlignment="1">
      <alignment horizontal="center" vertical="center"/>
    </xf>
    <xf numFmtId="0" fontId="4" fillId="9" borderId="11" xfId="0" applyFont="1" applyFill="1" applyBorder="1" applyAlignment="1">
      <alignment horizontal="center" vertical="center"/>
    </xf>
    <xf numFmtId="0" fontId="5" fillId="7" borderId="35" xfId="0" applyFont="1" applyFill="1" applyBorder="1" applyAlignment="1">
      <alignment horizontal="center" vertical="center"/>
    </xf>
    <xf numFmtId="0" fontId="9" fillId="7" borderId="23" xfId="0" applyFont="1" applyFill="1" applyBorder="1">
      <alignment vertical="center"/>
    </xf>
    <xf numFmtId="0" fontId="16" fillId="9" borderId="23" xfId="0" applyFont="1" applyFill="1" applyBorder="1" applyAlignment="1">
      <alignment horizontal="center" vertical="center"/>
    </xf>
    <xf numFmtId="0" fontId="6" fillId="0" borderId="38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7" borderId="4" xfId="0" applyFont="1" applyFill="1" applyBorder="1" applyAlignment="1">
      <alignment horizontal="center" vertical="center"/>
    </xf>
    <xf numFmtId="0" fontId="9" fillId="0" borderId="4" xfId="0" applyFont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9" fillId="9" borderId="4" xfId="0" applyFont="1" applyFill="1" applyBorder="1" applyAlignment="1">
      <alignment horizontal="center" vertical="center" wrapText="1"/>
    </xf>
    <xf numFmtId="0" fontId="22" fillId="9" borderId="4" xfId="0" applyFont="1" applyFill="1" applyBorder="1" applyAlignment="1">
      <alignment vertical="center" wrapText="1"/>
    </xf>
    <xf numFmtId="0" fontId="22" fillId="9" borderId="4" xfId="0" applyFont="1" applyFill="1" applyBorder="1" applyAlignment="1">
      <alignment horizontal="center" vertical="center" wrapText="1"/>
    </xf>
    <xf numFmtId="0" fontId="9" fillId="9" borderId="4" xfId="0" applyFont="1" applyFill="1" applyBorder="1" applyAlignment="1">
      <alignment horizontal="center" vertical="center"/>
    </xf>
    <xf numFmtId="0" fontId="22" fillId="9" borderId="39" xfId="0" applyFont="1" applyFill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 wrapText="1"/>
    </xf>
    <xf numFmtId="0" fontId="9" fillId="9" borderId="44" xfId="0" applyFont="1" applyFill="1" applyBorder="1" applyAlignment="1">
      <alignment horizontal="center" vertical="center"/>
    </xf>
    <xf numFmtId="14" fontId="6" fillId="0" borderId="38" xfId="0" applyNumberFormat="1" applyFont="1" applyBorder="1" applyAlignment="1">
      <alignment horizontal="center" vertical="center" wrapText="1"/>
    </xf>
    <xf numFmtId="14" fontId="6" fillId="0" borderId="4" xfId="0" applyNumberFormat="1" applyFont="1" applyBorder="1" applyAlignment="1">
      <alignment horizontal="center" vertical="center" wrapText="1"/>
    </xf>
    <xf numFmtId="14" fontId="6" fillId="0" borderId="4" xfId="0" applyNumberFormat="1" applyFont="1" applyBorder="1" applyAlignment="1">
      <alignment horizontal="center" vertical="center"/>
    </xf>
    <xf numFmtId="14" fontId="6" fillId="7" borderId="4" xfId="0" applyNumberFormat="1" applyFont="1" applyFill="1" applyBorder="1" applyAlignment="1">
      <alignment horizontal="center" vertical="center" wrapText="1"/>
    </xf>
    <xf numFmtId="14" fontId="6" fillId="9" borderId="4" xfId="0" applyNumberFormat="1" applyFont="1" applyFill="1" applyBorder="1" applyAlignment="1">
      <alignment horizontal="center" vertical="center"/>
    </xf>
    <xf numFmtId="14" fontId="6" fillId="9" borderId="4" xfId="0" applyNumberFormat="1" applyFont="1" applyFill="1" applyBorder="1" applyAlignment="1">
      <alignment horizontal="center" vertical="center" wrapText="1"/>
    </xf>
    <xf numFmtId="14" fontId="6" fillId="9" borderId="39" xfId="0" applyNumberFormat="1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0" fontId="7" fillId="7" borderId="46" xfId="0" applyFont="1" applyFill="1" applyBorder="1" applyAlignment="1">
      <alignment horizontal="center" vertical="center"/>
    </xf>
    <xf numFmtId="0" fontId="9" fillId="9" borderId="18" xfId="0" applyFont="1" applyFill="1" applyBorder="1" applyAlignment="1">
      <alignment horizontal="center" vertical="center"/>
    </xf>
    <xf numFmtId="0" fontId="6" fillId="0" borderId="42" xfId="0" applyFont="1" applyBorder="1" applyAlignment="1">
      <alignment horizontal="center" vertical="center"/>
    </xf>
    <xf numFmtId="0" fontId="5" fillId="0" borderId="43" xfId="0" applyFont="1" applyBorder="1" applyAlignment="1">
      <alignment horizontal="center" vertical="center"/>
    </xf>
    <xf numFmtId="0" fontId="11" fillId="9" borderId="0" xfId="2" applyFont="1" applyFill="1">
      <alignment vertical="center"/>
    </xf>
    <xf numFmtId="0" fontId="6" fillId="9" borderId="5" xfId="0" quotePrefix="1" applyFont="1" applyFill="1" applyBorder="1" applyAlignment="1">
      <alignment horizontal="center" vertical="center"/>
    </xf>
    <xf numFmtId="49" fontId="11" fillId="9" borderId="0" xfId="2" applyNumberFormat="1" applyFont="1" applyFill="1" applyAlignment="1">
      <alignment horizontal="center" vertical="center"/>
    </xf>
    <xf numFmtId="49" fontId="11" fillId="9" borderId="5" xfId="2" applyNumberFormat="1" applyFont="1" applyFill="1" applyBorder="1" applyAlignment="1">
      <alignment horizontal="center" vertical="center"/>
    </xf>
    <xf numFmtId="0" fontId="18" fillId="9" borderId="0" xfId="0" applyFont="1" applyFill="1" applyAlignment="1">
      <alignment horizontal="center" vertical="center"/>
    </xf>
    <xf numFmtId="0" fontId="18" fillId="9" borderId="5" xfId="1" applyFont="1" applyFill="1" applyBorder="1" applyAlignment="1">
      <alignment horizontal="center" vertical="center" wrapText="1"/>
    </xf>
    <xf numFmtId="0" fontId="5" fillId="3" borderId="21" xfId="0" applyFont="1" applyFill="1" applyBorder="1" applyAlignment="1">
      <alignment horizontal="center" vertical="center" wrapText="1"/>
    </xf>
    <xf numFmtId="0" fontId="0" fillId="12" borderId="0" xfId="0" applyFill="1" applyAlignment="1">
      <alignment horizontal="center" vertical="center"/>
    </xf>
    <xf numFmtId="0" fontId="5" fillId="3" borderId="54" xfId="0" applyFont="1" applyFill="1" applyBorder="1" applyAlignment="1">
      <alignment horizontal="center" vertical="center" wrapText="1"/>
    </xf>
    <xf numFmtId="0" fontId="5" fillId="6" borderId="31" xfId="0" applyFont="1" applyFill="1" applyBorder="1" applyAlignment="1">
      <alignment horizontal="center" vertical="center"/>
    </xf>
    <xf numFmtId="14" fontId="6" fillId="0" borderId="33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9" borderId="49" xfId="0" applyFont="1" applyFill="1" applyBorder="1" applyAlignment="1">
      <alignment horizontal="center" vertical="center" wrapText="1"/>
    </xf>
    <xf numFmtId="0" fontId="9" fillId="0" borderId="3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9" fillId="9" borderId="56" xfId="0" applyFont="1" applyFill="1" applyBorder="1" applyAlignment="1">
      <alignment horizontal="center" vertical="center" wrapText="1"/>
    </xf>
    <xf numFmtId="0" fontId="18" fillId="10" borderId="5" xfId="0" applyFont="1" applyFill="1" applyBorder="1" applyAlignment="1">
      <alignment horizontal="center" vertical="center"/>
    </xf>
    <xf numFmtId="0" fontId="19" fillId="0" borderId="28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4" fillId="10" borderId="57" xfId="0" applyFont="1" applyFill="1" applyBorder="1" applyAlignment="1">
      <alignment horizontal="center" vertical="center"/>
    </xf>
    <xf numFmtId="0" fontId="18" fillId="9" borderId="4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9" fillId="9" borderId="38" xfId="0" applyFont="1" applyFill="1" applyBorder="1" applyAlignment="1">
      <alignment horizontal="center" vertical="center" wrapText="1"/>
    </xf>
    <xf numFmtId="14" fontId="9" fillId="0" borderId="4" xfId="0" applyNumberFormat="1" applyFont="1" applyBorder="1" applyAlignment="1">
      <alignment horizontal="center" vertical="center" wrapText="1"/>
    </xf>
    <xf numFmtId="0" fontId="9" fillId="9" borderId="23" xfId="0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/>
    </xf>
    <xf numFmtId="0" fontId="9" fillId="9" borderId="23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/>
    </xf>
    <xf numFmtId="0" fontId="16" fillId="0" borderId="5" xfId="0" applyFont="1" applyBorder="1">
      <alignment vertical="center"/>
    </xf>
    <xf numFmtId="0" fontId="4" fillId="7" borderId="12" xfId="0" applyFont="1" applyFill="1" applyBorder="1" applyAlignment="1">
      <alignment horizontal="center" vertical="center"/>
    </xf>
    <xf numFmtId="0" fontId="4" fillId="7" borderId="44" xfId="0" applyFont="1" applyFill="1" applyBorder="1" applyAlignment="1">
      <alignment horizontal="center" vertical="center"/>
    </xf>
    <xf numFmtId="0" fontId="9" fillId="7" borderId="33" xfId="0" applyFont="1" applyFill="1" applyBorder="1" applyAlignment="1">
      <alignment horizontal="center" vertical="center"/>
    </xf>
    <xf numFmtId="0" fontId="4" fillId="9" borderId="44" xfId="0" applyFont="1" applyFill="1" applyBorder="1" applyAlignment="1">
      <alignment horizontal="center" vertical="center"/>
    </xf>
    <xf numFmtId="0" fontId="4" fillId="9" borderId="12" xfId="0" applyFont="1" applyFill="1" applyBorder="1" applyAlignment="1">
      <alignment horizontal="center" vertical="center"/>
    </xf>
    <xf numFmtId="0" fontId="4" fillId="10" borderId="12" xfId="0" applyFont="1" applyFill="1" applyBorder="1" applyAlignment="1">
      <alignment horizontal="center" vertical="center"/>
    </xf>
    <xf numFmtId="0" fontId="4" fillId="10" borderId="44" xfId="0" applyFont="1" applyFill="1" applyBorder="1" applyAlignment="1">
      <alignment horizontal="center" vertical="center"/>
    </xf>
    <xf numFmtId="0" fontId="4" fillId="10" borderId="4" xfId="0" applyFont="1" applyFill="1" applyBorder="1" applyAlignment="1">
      <alignment horizontal="center" vertical="center"/>
    </xf>
    <xf numFmtId="0" fontId="9" fillId="9" borderId="33" xfId="0" applyFont="1" applyFill="1" applyBorder="1" applyAlignment="1">
      <alignment horizontal="center" vertical="center"/>
    </xf>
    <xf numFmtId="0" fontId="4" fillId="9" borderId="15" xfId="0" applyFont="1" applyFill="1" applyBorder="1" applyAlignment="1">
      <alignment horizontal="center" vertical="center"/>
    </xf>
    <xf numFmtId="0" fontId="4" fillId="9" borderId="45" xfId="0" applyFont="1" applyFill="1" applyBorder="1" applyAlignment="1">
      <alignment horizontal="center" vertical="center"/>
    </xf>
    <xf numFmtId="0" fontId="9" fillId="0" borderId="34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 wrapText="1"/>
    </xf>
    <xf numFmtId="14" fontId="9" fillId="0" borderId="43" xfId="0" applyNumberFormat="1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14" fontId="9" fillId="0" borderId="44" xfId="0" applyNumberFormat="1" applyFont="1" applyBorder="1" applyAlignment="1">
      <alignment horizontal="center" vertical="center" wrapText="1"/>
    </xf>
    <xf numFmtId="14" fontId="9" fillId="0" borderId="44" xfId="0" applyNumberFormat="1" applyFont="1" applyBorder="1" applyAlignment="1">
      <alignment horizontal="center" vertical="center"/>
    </xf>
    <xf numFmtId="0" fontId="9" fillId="7" borderId="5" xfId="0" applyFont="1" applyFill="1" applyBorder="1" applyAlignment="1">
      <alignment horizontal="center" vertical="center"/>
    </xf>
    <xf numFmtId="0" fontId="9" fillId="7" borderId="5" xfId="0" applyFont="1" applyFill="1" applyBorder="1" applyAlignment="1">
      <alignment horizontal="center" vertical="center" wrapText="1"/>
    </xf>
    <xf numFmtId="14" fontId="9" fillId="7" borderId="44" xfId="0" applyNumberFormat="1" applyFont="1" applyFill="1" applyBorder="1" applyAlignment="1">
      <alignment horizontal="center" vertical="center" wrapText="1"/>
    </xf>
    <xf numFmtId="14" fontId="9" fillId="0" borderId="5" xfId="0" applyNumberFormat="1" applyFont="1" applyBorder="1" applyAlignment="1">
      <alignment horizontal="center" vertical="center"/>
    </xf>
    <xf numFmtId="0" fontId="9" fillId="9" borderId="5" xfId="1" applyFont="1" applyFill="1" applyBorder="1" applyAlignment="1">
      <alignment horizontal="center" vertical="center" wrapText="1"/>
    </xf>
    <xf numFmtId="14" fontId="9" fillId="9" borderId="44" xfId="0" applyNumberFormat="1" applyFont="1" applyFill="1" applyBorder="1" applyAlignment="1">
      <alignment horizontal="center" vertical="center"/>
    </xf>
    <xf numFmtId="0" fontId="23" fillId="10" borderId="5" xfId="0" applyFont="1" applyFill="1" applyBorder="1" applyAlignment="1">
      <alignment horizontal="center" vertical="center"/>
    </xf>
    <xf numFmtId="0" fontId="9" fillId="9" borderId="44" xfId="0" quotePrefix="1" applyFont="1" applyFill="1" applyBorder="1" applyAlignment="1">
      <alignment horizontal="center" vertical="center" wrapText="1"/>
    </xf>
    <xf numFmtId="0" fontId="9" fillId="10" borderId="5" xfId="1" applyFont="1" applyFill="1" applyBorder="1" applyAlignment="1">
      <alignment horizontal="center" vertical="center" wrapText="1"/>
    </xf>
    <xf numFmtId="0" fontId="9" fillId="9" borderId="5" xfId="0" applyFont="1" applyFill="1" applyBorder="1" applyAlignment="1">
      <alignment horizontal="center" vertical="center" wrapText="1"/>
    </xf>
    <xf numFmtId="0" fontId="9" fillId="9" borderId="11" xfId="0" applyFont="1" applyFill="1" applyBorder="1" applyAlignment="1">
      <alignment horizontal="center" vertical="center"/>
    </xf>
    <xf numFmtId="0" fontId="9" fillId="9" borderId="45" xfId="0" applyFont="1" applyFill="1" applyBorder="1" applyAlignment="1">
      <alignment horizontal="center" vertical="center"/>
    </xf>
    <xf numFmtId="0" fontId="9" fillId="9" borderId="18" xfId="0" applyFont="1" applyFill="1" applyBorder="1" applyAlignment="1">
      <alignment horizontal="center" vertical="center" wrapText="1"/>
    </xf>
    <xf numFmtId="0" fontId="19" fillId="10" borderId="12" xfId="0" applyFont="1" applyFill="1" applyBorder="1" applyAlignment="1">
      <alignment horizontal="center" vertical="center"/>
    </xf>
    <xf numFmtId="14" fontId="18" fillId="9" borderId="4" xfId="0" applyNumberFormat="1" applyFont="1" applyFill="1" applyBorder="1" applyAlignment="1">
      <alignment horizontal="center" vertical="center"/>
    </xf>
    <xf numFmtId="0" fontId="9" fillId="9" borderId="6" xfId="0" applyFont="1" applyFill="1" applyBorder="1" applyAlignment="1">
      <alignment horizontal="center" vertical="center"/>
    </xf>
    <xf numFmtId="0" fontId="9" fillId="9" borderId="59" xfId="0" applyFont="1" applyFill="1" applyBorder="1" applyAlignment="1">
      <alignment horizontal="center" vertical="center"/>
    </xf>
    <xf numFmtId="14" fontId="6" fillId="9" borderId="52" xfId="0" applyNumberFormat="1" applyFont="1" applyFill="1" applyBorder="1" applyAlignment="1">
      <alignment horizontal="center" vertical="center"/>
    </xf>
    <xf numFmtId="0" fontId="4" fillId="9" borderId="24" xfId="0" applyFont="1" applyFill="1" applyBorder="1" applyAlignment="1">
      <alignment horizontal="center" vertical="center"/>
    </xf>
    <xf numFmtId="0" fontId="4" fillId="9" borderId="6" xfId="0" applyFont="1" applyFill="1" applyBorder="1" applyAlignment="1">
      <alignment horizontal="center" vertical="center"/>
    </xf>
    <xf numFmtId="0" fontId="4" fillId="9" borderId="59" xfId="0" applyFont="1" applyFill="1" applyBorder="1" applyAlignment="1">
      <alignment horizontal="center" vertical="center"/>
    </xf>
    <xf numFmtId="0" fontId="4" fillId="9" borderId="25" xfId="0" applyFont="1" applyFill="1" applyBorder="1" applyAlignment="1">
      <alignment horizontal="center" vertical="center"/>
    </xf>
    <xf numFmtId="0" fontId="9" fillId="0" borderId="48" xfId="0" applyFont="1" applyBorder="1" applyAlignment="1">
      <alignment horizontal="center" vertical="center"/>
    </xf>
    <xf numFmtId="0" fontId="9" fillId="9" borderId="52" xfId="0" applyFont="1" applyFill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9" fillId="16" borderId="33" xfId="0" applyFont="1" applyFill="1" applyBorder="1" applyAlignment="1">
      <alignment horizontal="center" vertical="center"/>
    </xf>
    <xf numFmtId="0" fontId="6" fillId="9" borderId="33" xfId="0" applyFont="1" applyFill="1" applyBorder="1" applyAlignment="1">
      <alignment horizontal="center" vertical="center"/>
    </xf>
    <xf numFmtId="0" fontId="4" fillId="10" borderId="23" xfId="0" applyFont="1" applyFill="1" applyBorder="1" applyAlignment="1">
      <alignment horizontal="center" vertical="center"/>
    </xf>
    <xf numFmtId="0" fontId="9" fillId="0" borderId="24" xfId="0" applyFont="1" applyBorder="1" applyAlignment="1">
      <alignment horizontal="center" vertical="center" wrapText="1"/>
    </xf>
    <xf numFmtId="0" fontId="9" fillId="0" borderId="60" xfId="0" applyFont="1" applyBorder="1" applyAlignment="1">
      <alignment horizontal="center" vertical="center" wrapText="1"/>
    </xf>
    <xf numFmtId="0" fontId="9" fillId="9" borderId="6" xfId="0" applyFont="1" applyFill="1" applyBorder="1" applyAlignment="1">
      <alignment horizontal="center" vertical="center" wrapText="1"/>
    </xf>
    <xf numFmtId="0" fontId="9" fillId="9" borderId="61" xfId="0" applyFont="1" applyFill="1" applyBorder="1" applyAlignment="1">
      <alignment horizontal="center" vertical="center" wrapText="1"/>
    </xf>
    <xf numFmtId="0" fontId="9" fillId="9" borderId="48" xfId="0" applyFont="1" applyFill="1" applyBorder="1" applyAlignment="1">
      <alignment horizontal="center" vertical="center" wrapText="1"/>
    </xf>
    <xf numFmtId="0" fontId="9" fillId="9" borderId="37" xfId="0" applyFont="1" applyFill="1" applyBorder="1" applyAlignment="1">
      <alignment horizontal="center" vertical="center" wrapText="1"/>
    </xf>
    <xf numFmtId="0" fontId="9" fillId="9" borderId="49" xfId="0" applyFont="1" applyFill="1" applyBorder="1" applyAlignment="1">
      <alignment horizontal="center" vertical="center" wrapText="1"/>
    </xf>
    <xf numFmtId="0" fontId="9" fillId="9" borderId="24" xfId="0" applyFont="1" applyFill="1" applyBorder="1" applyAlignment="1">
      <alignment horizontal="center" vertical="center" wrapText="1"/>
    </xf>
    <xf numFmtId="0" fontId="9" fillId="9" borderId="40" xfId="0" applyFont="1" applyFill="1" applyBorder="1" applyAlignment="1">
      <alignment horizontal="center" vertical="center" wrapText="1"/>
    </xf>
    <xf numFmtId="0" fontId="9" fillId="9" borderId="27" xfId="0" applyFont="1" applyFill="1" applyBorder="1" applyAlignment="1">
      <alignment horizontal="center" vertical="center" wrapText="1"/>
    </xf>
    <xf numFmtId="0" fontId="6" fillId="9" borderId="48" xfId="0" applyFont="1" applyFill="1" applyBorder="1" applyAlignment="1">
      <alignment horizontal="center" vertical="center" wrapText="1"/>
    </xf>
    <xf numFmtId="0" fontId="6" fillId="9" borderId="37" xfId="0" applyFont="1" applyFill="1" applyBorder="1" applyAlignment="1">
      <alignment horizontal="center" vertical="center" wrapText="1"/>
    </xf>
    <xf numFmtId="0" fontId="6" fillId="9" borderId="49" xfId="0" applyFont="1" applyFill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6" fillId="0" borderId="42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9" borderId="23" xfId="0" applyFont="1" applyFill="1" applyBorder="1" applyAlignment="1">
      <alignment horizontal="center" vertical="center"/>
    </xf>
    <xf numFmtId="0" fontId="9" fillId="9" borderId="52" xfId="0" applyFont="1" applyFill="1" applyBorder="1" applyAlignment="1">
      <alignment horizontal="center" vertical="center" wrapText="1"/>
    </xf>
    <xf numFmtId="0" fontId="9" fillId="9" borderId="38" xfId="0" applyFont="1" applyFill="1" applyBorder="1" applyAlignment="1">
      <alignment horizontal="center" vertical="center" wrapText="1"/>
    </xf>
    <xf numFmtId="0" fontId="9" fillId="9" borderId="24" xfId="0" applyFont="1" applyFill="1" applyBorder="1" applyAlignment="1">
      <alignment horizontal="center" vertical="center"/>
    </xf>
    <xf numFmtId="0" fontId="9" fillId="9" borderId="40" xfId="0" applyFont="1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 wrapText="1"/>
    </xf>
    <xf numFmtId="0" fontId="5" fillId="3" borderId="22" xfId="0" applyFont="1" applyFill="1" applyBorder="1" applyAlignment="1">
      <alignment horizontal="center" vertical="center" wrapText="1"/>
    </xf>
    <xf numFmtId="0" fontId="5" fillId="3" borderId="53" xfId="0" applyFont="1" applyFill="1" applyBorder="1" applyAlignment="1">
      <alignment horizontal="center" vertical="center" wrapText="1"/>
    </xf>
    <xf numFmtId="0" fontId="5" fillId="3" borderId="54" xfId="0" applyFont="1" applyFill="1" applyBorder="1" applyAlignment="1">
      <alignment horizontal="center" vertical="center" wrapText="1"/>
    </xf>
    <xf numFmtId="0" fontId="5" fillId="3" borderId="21" xfId="0" applyFont="1" applyFill="1" applyBorder="1" applyAlignment="1">
      <alignment horizontal="center" vertical="center" wrapText="1"/>
    </xf>
    <xf numFmtId="0" fontId="5" fillId="0" borderId="47" xfId="0" applyFont="1" applyBorder="1" applyAlignment="1">
      <alignment horizontal="right" vertical="center"/>
    </xf>
    <xf numFmtId="0" fontId="5" fillId="0" borderId="47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40" xfId="0" applyFont="1" applyBorder="1" applyAlignment="1">
      <alignment horizontal="center" vertical="center"/>
    </xf>
    <xf numFmtId="0" fontId="6" fillId="9" borderId="33" xfId="0" applyFont="1" applyFill="1" applyBorder="1" applyAlignment="1">
      <alignment horizontal="center" vertical="center" wrapText="1"/>
    </xf>
    <xf numFmtId="0" fontId="6" fillId="9" borderId="34" xfId="0" applyFont="1" applyFill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 wrapText="1"/>
    </xf>
    <xf numFmtId="0" fontId="9" fillId="0" borderId="50" xfId="0" applyFont="1" applyBorder="1" applyAlignment="1">
      <alignment horizontal="center" vertical="center" wrapText="1"/>
    </xf>
    <xf numFmtId="0" fontId="9" fillId="0" borderId="28" xfId="0" applyFont="1" applyBorder="1" applyAlignment="1">
      <alignment horizontal="center" vertical="center" wrapText="1"/>
    </xf>
    <xf numFmtId="0" fontId="9" fillId="9" borderId="41" xfId="0" applyFont="1" applyFill="1" applyBorder="1" applyAlignment="1">
      <alignment horizontal="center" vertical="center" wrapText="1"/>
    </xf>
    <xf numFmtId="0" fontId="9" fillId="9" borderId="3" xfId="0" applyFont="1" applyFill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/>
    </xf>
    <xf numFmtId="0" fontId="9" fillId="0" borderId="50" xfId="0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55" xfId="0" applyFont="1" applyBorder="1" applyAlignment="1">
      <alignment horizontal="center" vertical="center"/>
    </xf>
    <xf numFmtId="0" fontId="9" fillId="0" borderId="51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 wrapText="1"/>
    </xf>
    <xf numFmtId="0" fontId="9" fillId="9" borderId="23" xfId="0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/>
    </xf>
    <xf numFmtId="0" fontId="9" fillId="9" borderId="58" xfId="0" applyFont="1" applyFill="1" applyBorder="1" applyAlignment="1">
      <alignment horizontal="center" vertical="center" wrapText="1"/>
    </xf>
    <xf numFmtId="0" fontId="9" fillId="9" borderId="36" xfId="0" applyFont="1" applyFill="1" applyBorder="1" applyAlignment="1">
      <alignment horizontal="center" vertical="center" wrapText="1"/>
    </xf>
    <xf numFmtId="0" fontId="15" fillId="0" borderId="27" xfId="2" applyFont="1" applyFill="1" applyBorder="1" applyAlignment="1">
      <alignment horizontal="center" vertical="center" wrapText="1"/>
    </xf>
    <xf numFmtId="0" fontId="15" fillId="0" borderId="18" xfId="2" applyFont="1" applyFill="1" applyBorder="1" applyAlignment="1">
      <alignment horizontal="center" vertical="center" wrapText="1"/>
    </xf>
    <xf numFmtId="0" fontId="15" fillId="0" borderId="24" xfId="2" applyFont="1" applyFill="1" applyBorder="1" applyAlignment="1">
      <alignment horizontal="center" vertical="center" wrapText="1"/>
    </xf>
    <xf numFmtId="0" fontId="15" fillId="0" borderId="17" xfId="2" applyFont="1" applyFill="1" applyBorder="1" applyAlignment="1">
      <alignment horizontal="center" vertical="center" wrapText="1"/>
    </xf>
    <xf numFmtId="0" fontId="15" fillId="0" borderId="19" xfId="2" applyFont="1" applyFill="1" applyBorder="1" applyAlignment="1">
      <alignment horizontal="center" vertical="center" wrapText="1"/>
    </xf>
  </cellXfs>
  <cellStyles count="4">
    <cellStyle name="메모" xfId="1" builtinId="10"/>
    <cellStyle name="표준" xfId="0" builtinId="0"/>
    <cellStyle name="표준 2" xfId="2"/>
    <cellStyle name="하이퍼링크" xfId="3" builtinId="8"/>
  </cellStyles>
  <dxfs count="3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u/>
        <color rgb="FF0000FF"/>
      </font>
    </dxf>
    <dxf>
      <font>
        <u/>
        <color rgb="FF0000FF"/>
      </font>
    </dxf>
    <dxf>
      <font>
        <u/>
        <color rgb="FF0000FF"/>
      </font>
    </dxf>
    <dxf>
      <font>
        <u/>
        <color rgb="FF0000FF"/>
      </font>
    </dxf>
    <dxf>
      <font>
        <u/>
        <color rgb="FF0000FF"/>
      </font>
    </dxf>
    <dxf>
      <font>
        <u/>
        <color rgb="FF0000FF"/>
      </font>
    </dxf>
    <dxf>
      <font>
        <u/>
        <color rgb="FF0000FF"/>
      </font>
    </dxf>
    <dxf>
      <font>
        <u/>
        <color rgb="FF0000FF"/>
      </font>
    </dxf>
    <dxf>
      <font>
        <u/>
        <color rgb="FF0000FF"/>
      </font>
    </dxf>
    <dxf>
      <font>
        <u/>
        <color rgb="FF0000FF"/>
      </font>
    </dxf>
    <dxf>
      <font>
        <u/>
        <color rgb="FF0000FF"/>
      </font>
    </dxf>
    <dxf>
      <font>
        <u/>
        <color rgb="FF0000FF"/>
      </font>
    </dxf>
    <dxf>
      <font>
        <u/>
        <color rgb="FF0000FF"/>
      </font>
    </dxf>
    <dxf>
      <font>
        <u/>
        <color rgb="FF0000FF"/>
      </font>
    </dxf>
    <dxf>
      <font>
        <u/>
        <color rgb="FF0000FF"/>
      </font>
    </dxf>
    <dxf>
      <font>
        <u/>
        <color rgb="FF0000FF"/>
      </font>
    </dxf>
    <dxf>
      <font>
        <u/>
        <color rgb="FF0000FF"/>
      </font>
    </dxf>
    <dxf>
      <font>
        <u/>
        <color rgb="FF0000FF"/>
      </font>
    </dxf>
    <dxf>
      <font>
        <u/>
        <color rgb="FF0000FF"/>
      </font>
    </dxf>
  </dxfs>
  <tableStyles count="0" defaultTableStyle="TableStyleMedium2" defaultPivotStyle="PivotStyleLight16"/>
  <colors>
    <mruColors>
      <color rgb="FF3333FF"/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NULL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116280</xdr:colOff>
      <xdr:row>0</xdr:row>
      <xdr:rowOff>40822</xdr:rowOff>
    </xdr:from>
    <xdr:ext cx="1238250" cy="543801"/>
    <xdr:pic>
      <xdr:nvPicPr>
        <xdr:cNvPr id="2" name="그림 1">
          <a:extLst>
            <a:ext uri="{FF2B5EF4-FFF2-40B4-BE49-F238E27FC236}">
              <a16:creationId xmlns:a16="http://schemas.microsoft.com/office/drawing/2014/main" xmlns="" id="{469EA976-60D8-4330-85BB-0370E77A25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80" y="40822"/>
          <a:ext cx="1238250" cy="543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133049</xdr:colOff>
      <xdr:row>0</xdr:row>
      <xdr:rowOff>0</xdr:rowOff>
    </xdr:from>
    <xdr:to>
      <xdr:col>26</xdr:col>
      <xdr:colOff>957036</xdr:colOff>
      <xdr:row>4</xdr:row>
      <xdr:rowOff>0</xdr:rowOff>
    </xdr:to>
    <xdr:sp macro="[0]!엑셀저장" textlink="">
      <xdr:nvSpPr>
        <xdr:cNvPr id="3" name="더하기 기호 2">
          <a:extLst>
            <a:ext uri="{FF2B5EF4-FFF2-40B4-BE49-F238E27FC236}">
              <a16:creationId xmlns:a16="http://schemas.microsoft.com/office/drawing/2014/main" xmlns="" id="{5FE55DB2-D4D6-4B32-B4CE-22A22D35B821}"/>
            </a:ext>
          </a:extLst>
        </xdr:cNvPr>
        <xdr:cNvSpPr/>
      </xdr:nvSpPr>
      <xdr:spPr>
        <a:xfrm>
          <a:off x="23183549" y="0"/>
          <a:ext cx="1786012" cy="1743075"/>
        </a:xfrm>
        <a:prstGeom prst="mathPlu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1400" b="1"/>
            <a:t>공유폴더 저장</a:t>
          </a:r>
          <a:endParaRPr lang="en-US" altLang="ko-KR" sz="1400" b="1"/>
        </a:p>
        <a:p>
          <a:pPr algn="ctr"/>
          <a:endParaRPr lang="ko-KR" altLang="en-US" sz="1100"/>
        </a:p>
      </xdr:txBody>
    </xdr:sp>
    <xdr:clientData/>
  </xdr:twoCellAnchor>
  <xdr:twoCellAnchor editAs="oneCell">
    <xdr:from>
      <xdr:col>26</xdr:col>
      <xdr:colOff>592666</xdr:colOff>
      <xdr:row>0</xdr:row>
      <xdr:rowOff>137583</xdr:rowOff>
    </xdr:from>
    <xdr:to>
      <xdr:col>28</xdr:col>
      <xdr:colOff>402165</xdr:colOff>
      <xdr:row>3</xdr:row>
      <xdr:rowOff>283260</xdr:rowOff>
    </xdr:to>
    <xdr:pic macro="[1]!PDF저장.PDF저장">
      <xdr:nvPicPr>
        <xdr:cNvPr id="4" name="그래픽 3" descr="다운로드 단색으로 채워진">
          <a:extLst>
            <a:ext uri="{FF2B5EF4-FFF2-40B4-BE49-F238E27FC236}">
              <a16:creationId xmlns:a16="http://schemas.microsoft.com/office/drawing/2014/main" xmlns="" id="{F4334E5E-5990-416F-91AA-A9DC4FB1BA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3"/>
            </a:ext>
          </a:extLst>
        </a:blip>
        <a:stretch>
          <a:fillRect/>
        </a:stretch>
      </xdr:blipFill>
      <xdr:spPr>
        <a:xfrm>
          <a:off x="24605191" y="137583"/>
          <a:ext cx="1152524" cy="1152525"/>
        </a:xfrm>
        <a:prstGeom prst="rect">
          <a:avLst/>
        </a:prstGeom>
      </xdr:spPr>
    </xdr:pic>
    <xdr:clientData/>
  </xdr:twoCellAnchor>
  <xdr:twoCellAnchor>
    <xdr:from>
      <xdr:col>19</xdr:col>
      <xdr:colOff>67235</xdr:colOff>
      <xdr:row>2</xdr:row>
      <xdr:rowOff>0</xdr:rowOff>
    </xdr:from>
    <xdr:to>
      <xdr:col>22</xdr:col>
      <xdr:colOff>459442</xdr:colOff>
      <xdr:row>2</xdr:row>
      <xdr:rowOff>302558</xdr:rowOff>
    </xdr:to>
    <xdr:sp macro="" textlink="">
      <xdr:nvSpPr>
        <xdr:cNvPr id="5" name="직사각형 4"/>
        <xdr:cNvSpPr/>
      </xdr:nvSpPr>
      <xdr:spPr>
        <a:xfrm>
          <a:off x="17526000" y="963706"/>
          <a:ext cx="1669677" cy="302558"/>
        </a:xfrm>
        <a:prstGeom prst="rect">
          <a:avLst/>
        </a:prstGeom>
        <a:solidFill>
          <a:srgbClr val="FFFFCC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1200" b="1">
              <a:solidFill>
                <a:sysClr val="windowText" lastClr="000000"/>
              </a:solidFill>
            </a:rPr>
            <a:t>노란 음영 </a:t>
          </a:r>
          <a:r>
            <a:rPr lang="en-US" altLang="ko-KR" sz="1200" b="1">
              <a:solidFill>
                <a:sysClr val="windowText" lastClr="000000"/>
              </a:solidFill>
            </a:rPr>
            <a:t>: </a:t>
          </a:r>
          <a:r>
            <a:rPr lang="ko-KR" altLang="en-US" sz="1200" b="1">
              <a:solidFill>
                <a:sysClr val="windowText" lastClr="000000"/>
              </a:solidFill>
            </a:rPr>
            <a:t>서류 심사</a:t>
          </a:r>
        </a:p>
      </xdr:txBody>
    </xdr:sp>
    <xdr:clientData/>
  </xdr:twoCellAnchor>
  <xdr:twoCellAnchor>
    <xdr:from>
      <xdr:col>14</xdr:col>
      <xdr:colOff>369795</xdr:colOff>
      <xdr:row>2</xdr:row>
      <xdr:rowOff>0</xdr:rowOff>
    </xdr:from>
    <xdr:to>
      <xdr:col>18</xdr:col>
      <xdr:colOff>336178</xdr:colOff>
      <xdr:row>2</xdr:row>
      <xdr:rowOff>302558</xdr:rowOff>
    </xdr:to>
    <xdr:sp macro="" textlink="">
      <xdr:nvSpPr>
        <xdr:cNvPr id="6" name="직사각형 5"/>
        <xdr:cNvSpPr/>
      </xdr:nvSpPr>
      <xdr:spPr>
        <a:xfrm>
          <a:off x="15699442" y="963706"/>
          <a:ext cx="1669677" cy="302558"/>
        </a:xfrm>
        <a:prstGeom prst="rect">
          <a:avLst/>
        </a:prstGeom>
        <a:solidFill>
          <a:sysClr val="window" lastClr="FFFFFF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1200" b="1">
              <a:solidFill>
                <a:sysClr val="windowText" lastClr="000000"/>
              </a:solidFill>
            </a:rPr>
            <a:t>흰색 음영 </a:t>
          </a:r>
          <a:r>
            <a:rPr lang="en-US" altLang="ko-KR" sz="1200" b="1">
              <a:solidFill>
                <a:sysClr val="windowText" lastClr="000000"/>
              </a:solidFill>
            </a:rPr>
            <a:t>: </a:t>
          </a:r>
          <a:r>
            <a:rPr lang="ko-KR" altLang="en-US" sz="1200" b="1">
              <a:solidFill>
                <a:sysClr val="windowText" lastClr="000000"/>
              </a:solidFill>
            </a:rPr>
            <a:t>직접 심사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4</xdr:row>
      <xdr:rowOff>95250</xdr:rowOff>
    </xdr:from>
    <xdr:to>
      <xdr:col>10</xdr:col>
      <xdr:colOff>330200</xdr:colOff>
      <xdr:row>6</xdr:row>
      <xdr:rowOff>209550</xdr:rowOff>
    </xdr:to>
    <xdr:sp macro="[0]!FINAL" textlink="">
      <xdr:nvSpPr>
        <xdr:cNvPr id="7" name="직사각형 6">
          <a:extLst>
            <a:ext uri="{FF2B5EF4-FFF2-40B4-BE49-F238E27FC236}">
              <a16:creationId xmlns:a16="http://schemas.microsoft.com/office/drawing/2014/main" xmlns="" id="{1D5A3041-5D75-4CBA-60F6-1DE7BBEA53AA}"/>
            </a:ext>
          </a:extLst>
        </xdr:cNvPr>
        <xdr:cNvSpPr/>
      </xdr:nvSpPr>
      <xdr:spPr>
        <a:xfrm>
          <a:off x="11569700" y="1073150"/>
          <a:ext cx="1485900" cy="74930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400" kern="1200"/>
            <a:t>UPDATE</a:t>
          </a:r>
          <a:endParaRPr lang="ko-KR" altLang="en-US" sz="1600" kern="1200"/>
        </a:p>
      </xdr:txBody>
    </xdr:sp>
    <xdr:clientData/>
  </xdr:twoCellAnchor>
  <xdr:twoCellAnchor>
    <xdr:from>
      <xdr:col>10</xdr:col>
      <xdr:colOff>664882</xdr:colOff>
      <xdr:row>3</xdr:row>
      <xdr:rowOff>97117</xdr:rowOff>
    </xdr:from>
    <xdr:to>
      <xdr:col>12</xdr:col>
      <xdr:colOff>530411</xdr:colOff>
      <xdr:row>7</xdr:row>
      <xdr:rowOff>112058</xdr:rowOff>
    </xdr:to>
    <xdr:sp macro="[0]!DeleteRangeData" textlink="">
      <xdr:nvSpPr>
        <xdr:cNvPr id="5" name="타원 4">
          <a:extLst>
            <a:ext uri="{FF2B5EF4-FFF2-40B4-BE49-F238E27FC236}">
              <a16:creationId xmlns:a16="http://schemas.microsoft.com/office/drawing/2014/main" xmlns="" id="{2B23E860-72EB-6D21-C9C3-011477F2BA15}"/>
            </a:ext>
          </a:extLst>
        </xdr:cNvPr>
        <xdr:cNvSpPr/>
      </xdr:nvSpPr>
      <xdr:spPr>
        <a:xfrm>
          <a:off x="13394764" y="859117"/>
          <a:ext cx="1270000" cy="1195294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400" b="1" kern="1200">
              <a:solidFill>
                <a:srgbClr val="FFFF00"/>
              </a:solidFill>
            </a:rPr>
            <a:t>삭제 후 업데이트</a:t>
          </a:r>
          <a:endParaRPr lang="ko-KR" altLang="en-US" sz="800" b="1" kern="1200">
            <a:solidFill>
              <a:srgbClr val="FFFF00"/>
            </a:solidFill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91.19\&#51221;&#48708;&#54408;&#51656;&#54016;\7.%20&#51221;&#48708;&#48376;&#48512;%20&#54408;&#51656;&#49900;&#49324;\1.%20&#54408;&#51656;&#49900;&#49324;\2025&#45380;%20&#54408;&#51656;&#49900;&#49324;\2.%20&#50672;&#44036;&#44228;&#54925;,%20&#54788;&#54889;\2025&#45380;%20&#51221;&#48708;&#48376;&#48512;%20&#54408;&#51656;&#49900;&#49324;%20&#44228;&#54925;&#54364;%20(R.6)%20-%20&#44060;&#51221;&#51473;1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CAR 현황"/>
      <sheetName val="2025년 정비본부 품질심사 계획표 (R"/>
    </sheetNames>
    <definedNames>
      <definedName name="PDF저장.PDF저장"/>
    </definedNames>
    <sheetDataSet>
      <sheetData sheetId="0"/>
      <sheetData sheetId="1"/>
      <sheetData sheetId="2"/>
      <sheetData sheetId="3" refreshError="1"/>
    </sheetDataSet>
  </externalBook>
</externalLink>
</file>

<file path=xl/queryTables/queryTable1.xml><?xml version="1.0" encoding="utf-8"?>
<queryTable xmlns="http://schemas.openxmlformats.org/spreadsheetml/2006/main" name="ExternalData_1" connectionId="2" autoFormatId="16" applyNumberFormats="0" applyBorderFormats="0" applyFontFormats="0" applyPatternFormats="0" applyAlignmentFormats="0" applyWidthHeightFormats="0">
  <queryTableRefresh nextId="17">
    <queryTableFields count="16">
      <queryTableField id="1" name="2025년도 CAR 발행현황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CAR_현황__2" displayName="CAR_현황__2" ref="A1:P42" tableType="queryTable" totalsRowShown="0">
  <autoFilter ref="A1:P42"/>
  <tableColumns count="16">
    <tableColumn id="1" uniqueName="1" name="2025년도 CAR 발행현황" queryTableFieldId="1"/>
    <tableColumn id="2" uniqueName="2" name="Column2" queryTableFieldId="2" dataDxfId="14"/>
    <tableColumn id="3" uniqueName="3" name="Column3" queryTableFieldId="3" dataDxfId="13"/>
    <tableColumn id="4" uniqueName="4" name="Column4" queryTableFieldId="4" dataDxfId="12"/>
    <tableColumn id="5" uniqueName="5" name="Column5" queryTableFieldId="5" dataDxfId="11"/>
    <tableColumn id="6" uniqueName="6" name="Column6" queryTableFieldId="6" dataDxfId="10"/>
    <tableColumn id="7" uniqueName="7" name="Column7" queryTableFieldId="7" dataDxfId="9"/>
    <tableColumn id="8" uniqueName="8" name="Column8" queryTableFieldId="8" dataDxfId="8"/>
    <tableColumn id="9" uniqueName="9" name="Column9" queryTableFieldId="9" dataDxfId="7"/>
    <tableColumn id="10" uniqueName="10" name="Column10" queryTableFieldId="10" dataDxfId="6"/>
    <tableColumn id="11" uniqueName="11" name="Column11" queryTableFieldId="11" dataDxfId="5"/>
    <tableColumn id="12" uniqueName="12" name="Column12" queryTableFieldId="12" dataDxfId="4"/>
    <tableColumn id="13" uniqueName="13" name="Column13" queryTableFieldId="13" dataDxfId="3"/>
    <tableColumn id="14" uniqueName="14" name="Column14" queryTableFieldId="14" dataDxfId="2"/>
    <tableColumn id="15" uniqueName="15" name="Column15" queryTableFieldId="15" dataDxfId="1"/>
    <tableColumn id="16" uniqueName="16" name="Column16" queryTableFieldId="1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테마1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FFFF00"/>
    <pageSetUpPr fitToPage="1"/>
  </sheetPr>
  <dimension ref="A1:AD57"/>
  <sheetViews>
    <sheetView tabSelected="1" view="pageBreakPreview" zoomScale="85" zoomScaleNormal="55" zoomScaleSheetLayoutView="85" workbookViewId="0">
      <pane xSplit="5" ySplit="4" topLeftCell="F5" activePane="bottomRight" state="frozen"/>
      <selection pane="topRight" activeCell="F1" sqref="F1"/>
      <selection pane="bottomLeft" activeCell="A6" sqref="A6"/>
      <selection pane="bottomRight" activeCell="H12" sqref="H12"/>
    </sheetView>
  </sheetViews>
  <sheetFormatPr defaultColWidth="12.625" defaultRowHeight="16.5" outlineLevelCol="1"/>
  <cols>
    <col min="1" max="2" width="7" customWidth="1"/>
    <col min="3" max="3" width="17.125" customWidth="1"/>
    <col min="4" max="4" width="14.25" style="3" customWidth="1"/>
    <col min="5" max="5" width="11.75" style="3" bestFit="1" customWidth="1"/>
    <col min="6" max="6" width="36.625" style="3" bestFit="1" customWidth="1"/>
    <col min="7" max="7" width="29.625" style="3" customWidth="1" outlineLevel="1"/>
    <col min="8" max="8" width="23.75" style="3" customWidth="1" outlineLevel="1"/>
    <col min="9" max="9" width="14.625" style="3" customWidth="1" outlineLevel="1"/>
    <col min="10" max="10" width="21.25" style="106" bestFit="1" customWidth="1" outlineLevel="1"/>
    <col min="11" max="22" width="5.625" customWidth="1"/>
    <col min="23" max="23" width="15.5" style="4" bestFit="1" customWidth="1"/>
    <col min="24" max="24" width="28.125" style="4" customWidth="1"/>
    <col min="28" max="28" width="5" bestFit="1" customWidth="1"/>
    <col min="29" max="29" width="25.25" style="1" customWidth="1"/>
  </cols>
  <sheetData>
    <row r="1" spans="1:30" ht="16.5" customHeight="1">
      <c r="A1" s="252" t="s">
        <v>424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  <c r="Q1" s="252"/>
      <c r="R1" s="252"/>
      <c r="S1" s="252"/>
      <c r="T1" s="252"/>
      <c r="U1" s="252"/>
      <c r="V1" s="252"/>
      <c r="W1" s="252"/>
      <c r="X1" s="252"/>
      <c r="Y1" s="143"/>
    </row>
    <row r="2" spans="1:30" ht="35.25" customHeight="1">
      <c r="A2" s="252"/>
      <c r="B2" s="252"/>
      <c r="C2" s="252"/>
      <c r="D2" s="252"/>
      <c r="E2" s="252"/>
      <c r="F2" s="252"/>
      <c r="G2" s="252"/>
      <c r="H2" s="252"/>
      <c r="I2" s="252"/>
      <c r="J2" s="252"/>
      <c r="K2" s="252"/>
      <c r="L2" s="252"/>
      <c r="M2" s="252"/>
      <c r="N2" s="252"/>
      <c r="O2" s="252"/>
      <c r="P2" s="252"/>
      <c r="Q2" s="252"/>
      <c r="R2" s="252"/>
      <c r="S2" s="252"/>
      <c r="T2" s="252"/>
      <c r="U2" s="252"/>
      <c r="V2" s="252"/>
      <c r="W2" s="252"/>
      <c r="X2" s="252"/>
      <c r="Y2" s="143"/>
    </row>
    <row r="3" spans="1:30" ht="27" customHeight="1" thickBot="1">
      <c r="A3" s="259"/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8" t="s">
        <v>350</v>
      </c>
      <c r="X3" s="258"/>
      <c r="Y3" s="143"/>
    </row>
    <row r="4" spans="1:30" ht="35.1" customHeight="1" thickBot="1">
      <c r="A4" s="253" t="s">
        <v>0</v>
      </c>
      <c r="B4" s="254"/>
      <c r="C4" s="255" t="s">
        <v>100</v>
      </c>
      <c r="D4" s="256"/>
      <c r="E4" s="253" t="s">
        <v>1</v>
      </c>
      <c r="F4" s="257"/>
      <c r="G4" s="32" t="s">
        <v>101</v>
      </c>
      <c r="H4" s="154" t="s">
        <v>102</v>
      </c>
      <c r="I4" s="156" t="s">
        <v>2</v>
      </c>
      <c r="J4" s="116" t="s">
        <v>151</v>
      </c>
      <c r="K4" s="34" t="s">
        <v>103</v>
      </c>
      <c r="L4" s="33" t="s">
        <v>3</v>
      </c>
      <c r="M4" s="35" t="s">
        <v>4</v>
      </c>
      <c r="N4" s="34" t="s">
        <v>104</v>
      </c>
      <c r="O4" s="33" t="s">
        <v>5</v>
      </c>
      <c r="P4" s="35" t="s">
        <v>6</v>
      </c>
      <c r="Q4" s="34" t="s">
        <v>105</v>
      </c>
      <c r="R4" s="33" t="s">
        <v>106</v>
      </c>
      <c r="S4" s="35" t="s">
        <v>107</v>
      </c>
      <c r="T4" s="34" t="s">
        <v>108</v>
      </c>
      <c r="U4" s="33" t="s">
        <v>109</v>
      </c>
      <c r="V4" s="35" t="s">
        <v>12</v>
      </c>
      <c r="W4" s="157" t="s">
        <v>13</v>
      </c>
      <c r="X4" s="120" t="s">
        <v>14</v>
      </c>
      <c r="Y4" s="144" t="s">
        <v>15</v>
      </c>
      <c r="AB4" t="s">
        <v>16</v>
      </c>
      <c r="AC4" t="s">
        <v>17</v>
      </c>
      <c r="AD4" s="2">
        <f>COUNTIF(Z:Z, 1)+1</f>
        <v>13</v>
      </c>
    </row>
    <row r="5" spans="1:30" ht="52.15" customHeight="1">
      <c r="A5" s="260" t="s">
        <v>110</v>
      </c>
      <c r="B5" s="275" t="s">
        <v>111</v>
      </c>
      <c r="C5" s="279" t="s">
        <v>254</v>
      </c>
      <c r="D5" s="280"/>
      <c r="E5" s="244" t="s">
        <v>112</v>
      </c>
      <c r="F5" s="192" t="s">
        <v>255</v>
      </c>
      <c r="G5" s="193" t="s">
        <v>263</v>
      </c>
      <c r="H5" s="194" t="s">
        <v>365</v>
      </c>
      <c r="I5" s="241" t="s">
        <v>18</v>
      </c>
      <c r="J5" s="136"/>
      <c r="K5" s="117"/>
      <c r="L5" s="115"/>
      <c r="M5" s="165"/>
      <c r="N5" s="117"/>
      <c r="O5" s="115"/>
      <c r="P5" s="105"/>
      <c r="Q5" s="117"/>
      <c r="R5" s="115"/>
      <c r="S5" s="105" t="s">
        <v>19</v>
      </c>
      <c r="T5" s="117"/>
      <c r="U5" s="115"/>
      <c r="V5" s="147"/>
      <c r="W5" s="146" t="s">
        <v>279</v>
      </c>
      <c r="X5" s="123"/>
      <c r="Y5" s="29"/>
      <c r="Z5" s="25">
        <v>1</v>
      </c>
      <c r="AA5" s="22" t="s">
        <v>113</v>
      </c>
      <c r="AC5" t="s">
        <v>88</v>
      </c>
      <c r="AD5" s="2">
        <f>COUNTIF(Z:Z, 4)</f>
        <v>3</v>
      </c>
    </row>
    <row r="6" spans="1:30" ht="52.15" customHeight="1">
      <c r="A6" s="261"/>
      <c r="B6" s="273"/>
      <c r="C6" s="264"/>
      <c r="D6" s="281"/>
      <c r="E6" s="245"/>
      <c r="F6" s="173" t="s">
        <v>256</v>
      </c>
      <c r="G6" s="195" t="s">
        <v>264</v>
      </c>
      <c r="H6" s="196" t="s">
        <v>366</v>
      </c>
      <c r="I6" s="242"/>
      <c r="J6" s="171" t="s">
        <v>408</v>
      </c>
      <c r="K6" s="97"/>
      <c r="L6" s="98"/>
      <c r="M6" s="177"/>
      <c r="N6" s="97" t="s">
        <v>407</v>
      </c>
      <c r="O6" s="98"/>
      <c r="P6" s="177"/>
      <c r="Q6" s="97"/>
      <c r="R6" s="98"/>
      <c r="S6" s="177"/>
      <c r="T6" s="97"/>
      <c r="U6" s="98"/>
      <c r="V6" s="178"/>
      <c r="W6" s="161" t="s">
        <v>281</v>
      </c>
      <c r="X6" s="30"/>
      <c r="Y6" s="30"/>
      <c r="Z6" s="25">
        <v>1</v>
      </c>
      <c r="AA6" s="22" t="s">
        <v>21</v>
      </c>
      <c r="AB6" t="s">
        <v>22</v>
      </c>
      <c r="AC6" t="s">
        <v>23</v>
      </c>
      <c r="AD6" s="2">
        <f>COUNTIF(Z:Z, 2)</f>
        <v>12</v>
      </c>
    </row>
    <row r="7" spans="1:30" ht="52.15" customHeight="1">
      <c r="A7" s="261"/>
      <c r="B7" s="273"/>
      <c r="C7" s="264"/>
      <c r="D7" s="281"/>
      <c r="E7" s="245"/>
      <c r="F7" s="173" t="s">
        <v>257</v>
      </c>
      <c r="G7" s="195" t="s">
        <v>265</v>
      </c>
      <c r="H7" s="196" t="s">
        <v>367</v>
      </c>
      <c r="I7" s="242"/>
      <c r="J7" s="137"/>
      <c r="K7" s="97"/>
      <c r="L7" s="98"/>
      <c r="M7" s="177"/>
      <c r="N7" s="97"/>
      <c r="O7" s="98"/>
      <c r="P7" s="177"/>
      <c r="Q7" s="97"/>
      <c r="R7" s="98" t="s">
        <v>401</v>
      </c>
      <c r="S7" s="177"/>
      <c r="T7" s="97"/>
      <c r="U7" s="98"/>
      <c r="V7" s="178"/>
      <c r="W7" s="161" t="s">
        <v>282</v>
      </c>
      <c r="X7" s="222" t="s">
        <v>430</v>
      </c>
      <c r="Y7" s="30"/>
      <c r="Z7" s="25">
        <v>1</v>
      </c>
      <c r="AA7" s="22" t="s">
        <v>114</v>
      </c>
      <c r="AC7" t="s">
        <v>25</v>
      </c>
      <c r="AD7" s="2">
        <f>COUNTIF(Z:Z, 3)</f>
        <v>22</v>
      </c>
    </row>
    <row r="8" spans="1:30" ht="52.15" customHeight="1">
      <c r="A8" s="261"/>
      <c r="B8" s="273"/>
      <c r="C8" s="264"/>
      <c r="D8" s="281"/>
      <c r="E8" s="245"/>
      <c r="F8" s="173" t="s">
        <v>258</v>
      </c>
      <c r="G8" s="195" t="s">
        <v>266</v>
      </c>
      <c r="H8" s="196" t="s">
        <v>213</v>
      </c>
      <c r="I8" s="242"/>
      <c r="J8" s="137"/>
      <c r="K8" s="97"/>
      <c r="L8" s="98"/>
      <c r="M8" s="177"/>
      <c r="N8" s="97"/>
      <c r="O8" s="98"/>
      <c r="P8" s="177"/>
      <c r="Q8" s="97"/>
      <c r="R8" s="179"/>
      <c r="S8" s="177"/>
      <c r="T8" s="97" t="s">
        <v>409</v>
      </c>
      <c r="U8" s="98"/>
      <c r="V8" s="178"/>
      <c r="W8" s="161" t="s">
        <v>284</v>
      </c>
      <c r="X8" s="124"/>
      <c r="Y8" s="30"/>
      <c r="Z8" s="25">
        <v>1</v>
      </c>
      <c r="AA8" s="22" t="s">
        <v>21</v>
      </c>
      <c r="AC8"/>
      <c r="AD8" s="2">
        <f>SUM(AD4:AD7)</f>
        <v>50</v>
      </c>
    </row>
    <row r="9" spans="1:30" ht="52.15" customHeight="1">
      <c r="A9" s="261"/>
      <c r="B9" s="273"/>
      <c r="C9" s="264"/>
      <c r="D9" s="281"/>
      <c r="E9" s="245"/>
      <c r="F9" s="173" t="s">
        <v>259</v>
      </c>
      <c r="G9" s="195" t="s">
        <v>267</v>
      </c>
      <c r="H9" s="196" t="s">
        <v>368</v>
      </c>
      <c r="I9" s="242"/>
      <c r="J9" s="137"/>
      <c r="K9" s="97"/>
      <c r="L9" s="98"/>
      <c r="M9" s="177"/>
      <c r="N9" s="97"/>
      <c r="O9" s="98" t="s">
        <v>339</v>
      </c>
      <c r="P9" s="177"/>
      <c r="Q9" s="97"/>
      <c r="R9" s="98"/>
      <c r="S9" s="177"/>
      <c r="T9" s="97"/>
      <c r="U9" s="98" t="s">
        <v>19</v>
      </c>
      <c r="V9" s="178"/>
      <c r="W9" s="161" t="s">
        <v>288</v>
      </c>
      <c r="X9" s="124"/>
      <c r="Y9" s="30"/>
      <c r="Z9" s="25">
        <v>1</v>
      </c>
      <c r="AA9" s="22" t="s">
        <v>115</v>
      </c>
    </row>
    <row r="10" spans="1:30" ht="52.15" customHeight="1">
      <c r="A10" s="261"/>
      <c r="B10" s="273"/>
      <c r="C10" s="264"/>
      <c r="D10" s="281"/>
      <c r="E10" s="245"/>
      <c r="F10" s="173" t="s">
        <v>260</v>
      </c>
      <c r="G10" s="195" t="s">
        <v>26</v>
      </c>
      <c r="H10" s="196" t="s">
        <v>214</v>
      </c>
      <c r="I10" s="242"/>
      <c r="J10" s="137"/>
      <c r="K10" s="97"/>
      <c r="L10" s="98"/>
      <c r="M10" s="177"/>
      <c r="N10" s="97"/>
      <c r="O10" s="98"/>
      <c r="P10" s="177"/>
      <c r="Q10" s="97" t="s">
        <v>400</v>
      </c>
      <c r="R10" s="98"/>
      <c r="S10" s="177"/>
      <c r="T10" s="97"/>
      <c r="U10" s="98"/>
      <c r="V10" s="178"/>
      <c r="W10" s="161" t="s">
        <v>286</v>
      </c>
      <c r="X10" s="222" t="s">
        <v>429</v>
      </c>
      <c r="Y10" s="30"/>
      <c r="Z10" s="25">
        <v>1</v>
      </c>
      <c r="AA10" s="22" t="s">
        <v>21</v>
      </c>
    </row>
    <row r="11" spans="1:30" ht="52.15" customHeight="1">
      <c r="A11" s="261"/>
      <c r="B11" s="273"/>
      <c r="C11" s="264"/>
      <c r="D11" s="281"/>
      <c r="E11" s="245"/>
      <c r="F11" s="173" t="s">
        <v>261</v>
      </c>
      <c r="G11" s="195" t="s">
        <v>268</v>
      </c>
      <c r="H11" s="197" t="s">
        <v>215</v>
      </c>
      <c r="I11" s="242"/>
      <c r="J11" s="138" t="s">
        <v>394</v>
      </c>
      <c r="K11" s="97"/>
      <c r="L11" s="98"/>
      <c r="M11" s="177" t="s">
        <v>391</v>
      </c>
      <c r="N11" s="97"/>
      <c r="O11" s="98"/>
      <c r="P11" s="177"/>
      <c r="Q11" s="97"/>
      <c r="R11" s="98"/>
      <c r="S11" s="177"/>
      <c r="T11" s="97"/>
      <c r="U11" s="98"/>
      <c r="V11" s="178"/>
      <c r="W11" s="161" t="s">
        <v>357</v>
      </c>
      <c r="X11" s="124"/>
      <c r="Y11" s="30"/>
      <c r="Z11" s="25">
        <v>1</v>
      </c>
      <c r="AA11" s="22" t="s">
        <v>21</v>
      </c>
    </row>
    <row r="12" spans="1:30" ht="52.15" customHeight="1">
      <c r="A12" s="261"/>
      <c r="B12" s="273"/>
      <c r="C12" s="264"/>
      <c r="D12" s="281"/>
      <c r="E12" s="121"/>
      <c r="F12" s="198" t="s">
        <v>262</v>
      </c>
      <c r="G12" s="199"/>
      <c r="H12" s="200" t="s">
        <v>216</v>
      </c>
      <c r="I12" s="242"/>
      <c r="J12" s="139" t="s">
        <v>393</v>
      </c>
      <c r="K12" s="99"/>
      <c r="L12" s="100"/>
      <c r="M12" s="180" t="s">
        <v>133</v>
      </c>
      <c r="N12" s="99"/>
      <c r="O12" s="100"/>
      <c r="P12" s="180"/>
      <c r="Q12" s="99"/>
      <c r="R12" s="100"/>
      <c r="S12" s="180"/>
      <c r="T12" s="99"/>
      <c r="U12" s="100"/>
      <c r="V12" s="181"/>
      <c r="W12" s="182"/>
      <c r="X12" s="125" t="s">
        <v>202</v>
      </c>
      <c r="Y12" s="31"/>
      <c r="Z12" s="25"/>
    </row>
    <row r="13" spans="1:30" ht="52.15" customHeight="1">
      <c r="A13" s="261"/>
      <c r="B13" s="276"/>
      <c r="C13" s="284" t="s">
        <v>116</v>
      </c>
      <c r="D13" s="281"/>
      <c r="E13" s="245" t="s">
        <v>16</v>
      </c>
      <c r="F13" s="173" t="s">
        <v>117</v>
      </c>
      <c r="G13" s="239" t="s">
        <v>30</v>
      </c>
      <c r="H13" s="201" t="s">
        <v>217</v>
      </c>
      <c r="I13" s="243"/>
      <c r="J13" s="158"/>
      <c r="K13" s="97"/>
      <c r="L13" s="98"/>
      <c r="M13" s="177"/>
      <c r="N13" s="97"/>
      <c r="O13" s="98"/>
      <c r="P13" s="177"/>
      <c r="Q13" s="97"/>
      <c r="R13" s="98" t="s">
        <v>19</v>
      </c>
      <c r="S13" s="177"/>
      <c r="T13" s="97"/>
      <c r="U13" s="98"/>
      <c r="V13" s="178"/>
      <c r="W13" s="161" t="s">
        <v>289</v>
      </c>
      <c r="X13" s="124"/>
      <c r="Y13" s="30"/>
      <c r="Z13" s="25">
        <v>1</v>
      </c>
      <c r="AA13" s="22" t="s">
        <v>29</v>
      </c>
    </row>
    <row r="14" spans="1:30" ht="52.15" customHeight="1">
      <c r="A14" s="261"/>
      <c r="B14" s="276"/>
      <c r="C14" s="284"/>
      <c r="D14" s="281"/>
      <c r="E14" s="245"/>
      <c r="F14" s="173" t="s">
        <v>118</v>
      </c>
      <c r="G14" s="251"/>
      <c r="H14" s="201" t="s">
        <v>364</v>
      </c>
      <c r="I14" s="243"/>
      <c r="J14" s="158"/>
      <c r="K14" s="97"/>
      <c r="L14" s="98"/>
      <c r="M14" s="177"/>
      <c r="N14" s="101"/>
      <c r="O14" s="102"/>
      <c r="P14" s="177"/>
      <c r="Q14" s="97"/>
      <c r="R14" s="98"/>
      <c r="S14" s="177" t="s">
        <v>134</v>
      </c>
      <c r="T14" s="97"/>
      <c r="U14" s="98"/>
      <c r="V14" s="183"/>
      <c r="W14" s="161" t="s">
        <v>128</v>
      </c>
      <c r="X14" s="124"/>
      <c r="Y14" s="30"/>
      <c r="Z14" s="25">
        <v>1</v>
      </c>
      <c r="AA14" s="22" t="s">
        <v>29</v>
      </c>
    </row>
    <row r="15" spans="1:30" ht="52.15" customHeight="1">
      <c r="A15" s="261"/>
      <c r="B15" s="276"/>
      <c r="C15" s="284"/>
      <c r="D15" s="281"/>
      <c r="E15" s="245"/>
      <c r="F15" s="173" t="s">
        <v>119</v>
      </c>
      <c r="G15" s="251"/>
      <c r="H15" s="201" t="s">
        <v>218</v>
      </c>
      <c r="I15" s="243"/>
      <c r="J15" s="158" t="s">
        <v>425</v>
      </c>
      <c r="K15" s="97"/>
      <c r="L15" s="98"/>
      <c r="M15" s="177"/>
      <c r="N15" s="101"/>
      <c r="O15" s="98" t="s">
        <v>133</v>
      </c>
      <c r="P15" s="177"/>
      <c r="Q15" s="97"/>
      <c r="R15" s="98"/>
      <c r="S15" s="177"/>
      <c r="T15" s="97"/>
      <c r="U15" s="98"/>
      <c r="V15" s="178"/>
      <c r="W15" s="161" t="s">
        <v>31</v>
      </c>
      <c r="X15" s="124"/>
      <c r="Y15" s="30"/>
      <c r="Z15" s="25">
        <v>1</v>
      </c>
      <c r="AA15" s="22" t="s">
        <v>116</v>
      </c>
    </row>
    <row r="16" spans="1:30" ht="52.15" customHeight="1">
      <c r="A16" s="261"/>
      <c r="B16" s="276"/>
      <c r="C16" s="284"/>
      <c r="D16" s="281"/>
      <c r="E16" s="245"/>
      <c r="F16" s="173" t="s">
        <v>32</v>
      </c>
      <c r="G16" s="251"/>
      <c r="H16" s="201" t="s">
        <v>219</v>
      </c>
      <c r="I16" s="243"/>
      <c r="J16" s="158"/>
      <c r="K16" s="97"/>
      <c r="L16" s="98"/>
      <c r="M16" s="177"/>
      <c r="N16" s="97"/>
      <c r="O16" s="98"/>
      <c r="P16" s="177"/>
      <c r="Q16" s="97"/>
      <c r="R16" s="98"/>
      <c r="S16" s="177"/>
      <c r="T16" s="97" t="s">
        <v>142</v>
      </c>
      <c r="U16" s="98"/>
      <c r="V16" s="178"/>
      <c r="W16" s="161" t="s">
        <v>329</v>
      </c>
      <c r="X16" s="124"/>
      <c r="Y16" s="30"/>
      <c r="Z16" s="25">
        <v>1</v>
      </c>
      <c r="AA16" s="22" t="s">
        <v>120</v>
      </c>
    </row>
    <row r="17" spans="1:29" ht="52.15" customHeight="1">
      <c r="A17" s="261"/>
      <c r="B17" s="276"/>
      <c r="C17" s="284"/>
      <c r="D17" s="281"/>
      <c r="E17" s="245"/>
      <c r="F17" s="173" t="s">
        <v>121</v>
      </c>
      <c r="G17" s="251"/>
      <c r="H17" s="201" t="s">
        <v>220</v>
      </c>
      <c r="I17" s="243"/>
      <c r="J17" s="158"/>
      <c r="K17" s="97"/>
      <c r="L17" s="98"/>
      <c r="M17" s="177"/>
      <c r="N17" s="97"/>
      <c r="O17" s="98"/>
      <c r="P17" s="177"/>
      <c r="Q17" s="97"/>
      <c r="R17" s="98"/>
      <c r="S17" s="177"/>
      <c r="T17" s="97"/>
      <c r="U17" s="98" t="s">
        <v>135</v>
      </c>
      <c r="V17" s="178"/>
      <c r="W17" s="161" t="s">
        <v>287</v>
      </c>
      <c r="X17" s="126"/>
      <c r="Y17" s="30"/>
      <c r="Z17" s="25">
        <v>1</v>
      </c>
      <c r="AA17" s="22" t="s">
        <v>29</v>
      </c>
    </row>
    <row r="18" spans="1:29" ht="52.15" customHeight="1">
      <c r="A18" s="261"/>
      <c r="B18" s="273"/>
      <c r="C18" s="264" t="s">
        <v>122</v>
      </c>
      <c r="D18" s="272" t="s">
        <v>123</v>
      </c>
      <c r="E18" s="174" t="s">
        <v>195</v>
      </c>
      <c r="F18" s="202" t="s">
        <v>152</v>
      </c>
      <c r="G18" s="251"/>
      <c r="H18" s="203" t="s">
        <v>221</v>
      </c>
      <c r="I18" s="236" t="s">
        <v>200</v>
      </c>
      <c r="J18" s="140"/>
      <c r="K18" s="101"/>
      <c r="L18" s="102"/>
      <c r="M18" s="184"/>
      <c r="N18" s="101"/>
      <c r="O18" s="102"/>
      <c r="P18" s="184"/>
      <c r="Q18" s="101"/>
      <c r="R18" s="102"/>
      <c r="S18" s="184"/>
      <c r="T18" s="101"/>
      <c r="U18" s="102" t="s">
        <v>19</v>
      </c>
      <c r="V18" s="183"/>
      <c r="W18" s="161" t="s">
        <v>287</v>
      </c>
      <c r="X18" s="127"/>
      <c r="Y18" s="30"/>
      <c r="Z18" s="25">
        <v>2</v>
      </c>
      <c r="AA18" s="23" t="s">
        <v>33</v>
      </c>
    </row>
    <row r="19" spans="1:29" ht="52.15" customHeight="1">
      <c r="A19" s="261"/>
      <c r="B19" s="273"/>
      <c r="C19" s="264"/>
      <c r="D19" s="273"/>
      <c r="E19" s="246" t="s">
        <v>196</v>
      </c>
      <c r="F19" s="108" t="s">
        <v>153</v>
      </c>
      <c r="G19" s="251"/>
      <c r="H19" s="135" t="s">
        <v>222</v>
      </c>
      <c r="I19" s="237"/>
      <c r="J19" s="140"/>
      <c r="K19" s="101"/>
      <c r="L19" s="102"/>
      <c r="M19" s="184"/>
      <c r="N19" s="101"/>
      <c r="O19" s="102"/>
      <c r="P19" s="184"/>
      <c r="Q19" s="101"/>
      <c r="R19" s="102" t="s">
        <v>19</v>
      </c>
      <c r="S19" s="184"/>
      <c r="T19" s="101"/>
      <c r="U19" s="102"/>
      <c r="V19" s="183"/>
      <c r="W19" s="161" t="s">
        <v>24</v>
      </c>
      <c r="X19" s="128"/>
      <c r="Y19" s="30"/>
      <c r="Z19" s="25">
        <v>2</v>
      </c>
      <c r="AA19" s="23" t="s">
        <v>122</v>
      </c>
    </row>
    <row r="20" spans="1:29" ht="52.15" customHeight="1">
      <c r="A20" s="261"/>
      <c r="B20" s="273"/>
      <c r="C20" s="264"/>
      <c r="D20" s="273"/>
      <c r="E20" s="246"/>
      <c r="F20" s="108" t="s">
        <v>154</v>
      </c>
      <c r="G20" s="251"/>
      <c r="H20" s="203" t="s">
        <v>223</v>
      </c>
      <c r="I20" s="237"/>
      <c r="J20" s="140"/>
      <c r="K20" s="101"/>
      <c r="L20" s="102"/>
      <c r="M20" s="184"/>
      <c r="N20" s="101"/>
      <c r="O20" s="102"/>
      <c r="P20" s="184"/>
      <c r="Q20" s="101"/>
      <c r="R20" s="102"/>
      <c r="S20" s="184"/>
      <c r="T20" s="101" t="s">
        <v>410</v>
      </c>
      <c r="U20" s="102"/>
      <c r="V20" s="183"/>
      <c r="W20" s="161" t="s">
        <v>20</v>
      </c>
      <c r="X20" s="168" t="s">
        <v>411</v>
      </c>
      <c r="Y20" s="30"/>
      <c r="Z20" s="25">
        <v>2</v>
      </c>
      <c r="AA20" s="23" t="s">
        <v>122</v>
      </c>
    </row>
    <row r="21" spans="1:29" ht="52.15" customHeight="1">
      <c r="A21" s="261"/>
      <c r="B21" s="273"/>
      <c r="C21" s="264"/>
      <c r="D21" s="273"/>
      <c r="E21" s="249" t="s">
        <v>197</v>
      </c>
      <c r="F21" s="108" t="s">
        <v>155</v>
      </c>
      <c r="G21" s="251"/>
      <c r="H21" s="203" t="s">
        <v>224</v>
      </c>
      <c r="I21" s="237"/>
      <c r="J21" s="140"/>
      <c r="K21" s="101"/>
      <c r="L21" s="102"/>
      <c r="M21" s="184"/>
      <c r="N21" s="101"/>
      <c r="O21" s="102"/>
      <c r="P21" s="184"/>
      <c r="Q21" s="101"/>
      <c r="R21" s="102" t="s">
        <v>192</v>
      </c>
      <c r="S21" s="184"/>
      <c r="T21" s="101"/>
      <c r="U21" s="102"/>
      <c r="V21" s="183"/>
      <c r="W21" s="161" t="s">
        <v>343</v>
      </c>
      <c r="X21" s="128"/>
      <c r="Y21" s="30"/>
      <c r="Z21" s="25">
        <v>2</v>
      </c>
      <c r="AA21" s="23" t="s">
        <v>33</v>
      </c>
    </row>
    <row r="22" spans="1:29" ht="52.15" customHeight="1">
      <c r="A22" s="261"/>
      <c r="B22" s="273"/>
      <c r="C22" s="264"/>
      <c r="D22" s="273"/>
      <c r="E22" s="250"/>
      <c r="F22" s="108" t="s">
        <v>156</v>
      </c>
      <c r="G22" s="251"/>
      <c r="H22" s="203" t="s">
        <v>225</v>
      </c>
      <c r="I22" s="237"/>
      <c r="J22" s="140"/>
      <c r="K22" s="101"/>
      <c r="L22" s="102"/>
      <c r="M22" s="184"/>
      <c r="N22" s="101"/>
      <c r="O22" s="102"/>
      <c r="P22" s="184"/>
      <c r="Q22" s="101"/>
      <c r="R22" s="102"/>
      <c r="S22" s="184" t="s">
        <v>276</v>
      </c>
      <c r="T22" s="101"/>
      <c r="U22" s="102"/>
      <c r="V22" s="183"/>
      <c r="W22" s="161" t="s">
        <v>330</v>
      </c>
      <c r="X22" s="128"/>
      <c r="Y22" s="30"/>
      <c r="Z22" s="25">
        <v>2</v>
      </c>
      <c r="AA22" s="23" t="s">
        <v>33</v>
      </c>
    </row>
    <row r="23" spans="1:29" ht="52.15" customHeight="1">
      <c r="A23" s="261"/>
      <c r="B23" s="273"/>
      <c r="C23" s="264"/>
      <c r="D23" s="273"/>
      <c r="E23" s="250"/>
      <c r="F23" s="108" t="s">
        <v>157</v>
      </c>
      <c r="G23" s="251"/>
      <c r="H23" s="203" t="s">
        <v>226</v>
      </c>
      <c r="I23" s="237"/>
      <c r="J23" s="140"/>
      <c r="K23" s="101"/>
      <c r="L23" s="102"/>
      <c r="M23" s="184"/>
      <c r="N23" s="101"/>
      <c r="O23" s="102"/>
      <c r="P23" s="184"/>
      <c r="Q23" s="101"/>
      <c r="R23" s="102"/>
      <c r="S23" s="184"/>
      <c r="T23" s="101" t="s">
        <v>193</v>
      </c>
      <c r="U23" s="102"/>
      <c r="V23" s="183"/>
      <c r="W23" s="161" t="s">
        <v>331</v>
      </c>
      <c r="X23" s="128"/>
      <c r="Y23" s="30"/>
      <c r="Z23" s="25">
        <v>2</v>
      </c>
      <c r="AA23" s="23" t="s">
        <v>33</v>
      </c>
    </row>
    <row r="24" spans="1:29" s="111" customFormat="1" ht="52.15" customHeight="1">
      <c r="A24" s="261"/>
      <c r="B24" s="273"/>
      <c r="C24" s="264"/>
      <c r="D24" s="273"/>
      <c r="E24" s="145" t="s">
        <v>269</v>
      </c>
      <c r="F24" s="204" t="s">
        <v>248</v>
      </c>
      <c r="G24" s="251"/>
      <c r="H24" s="205" t="s">
        <v>271</v>
      </c>
      <c r="I24" s="237"/>
      <c r="J24" s="140"/>
      <c r="K24" s="103"/>
      <c r="L24" s="104"/>
      <c r="M24" s="185"/>
      <c r="N24" s="103"/>
      <c r="O24" s="104"/>
      <c r="P24" s="185"/>
      <c r="Q24" s="103" t="s">
        <v>19</v>
      </c>
      <c r="R24" s="104"/>
      <c r="S24" s="185"/>
      <c r="T24" s="103"/>
      <c r="U24" s="104"/>
      <c r="V24" s="186"/>
      <c r="W24" s="161" t="s">
        <v>290</v>
      </c>
      <c r="X24" s="128"/>
      <c r="Y24" s="110"/>
      <c r="Z24" s="25">
        <v>2</v>
      </c>
      <c r="AA24" s="23" t="s">
        <v>33</v>
      </c>
      <c r="AC24" s="112"/>
    </row>
    <row r="25" spans="1:29" ht="52.15" customHeight="1">
      <c r="A25" s="261"/>
      <c r="B25" s="273"/>
      <c r="C25" s="264"/>
      <c r="D25" s="273"/>
      <c r="E25" s="174" t="s">
        <v>198</v>
      </c>
      <c r="F25" s="204" t="s">
        <v>158</v>
      </c>
      <c r="G25" s="251"/>
      <c r="H25" s="205" t="s">
        <v>247</v>
      </c>
      <c r="I25" s="237"/>
      <c r="J25" s="140"/>
      <c r="K25" s="103"/>
      <c r="L25" s="104"/>
      <c r="M25" s="185"/>
      <c r="N25" s="103"/>
      <c r="O25" s="104"/>
      <c r="P25" s="185"/>
      <c r="Q25" s="103"/>
      <c r="R25" s="104" t="s">
        <v>194</v>
      </c>
      <c r="S25" s="185"/>
      <c r="T25" s="103"/>
      <c r="U25" s="104"/>
      <c r="V25" s="186"/>
      <c r="W25" s="161" t="s">
        <v>340</v>
      </c>
      <c r="X25" s="128"/>
      <c r="Y25" s="30"/>
      <c r="Z25" s="25">
        <v>2</v>
      </c>
      <c r="AA25" s="23" t="s">
        <v>33</v>
      </c>
    </row>
    <row r="26" spans="1:29" ht="52.15" customHeight="1">
      <c r="A26" s="261"/>
      <c r="B26" s="273"/>
      <c r="C26" s="264"/>
      <c r="D26" s="273"/>
      <c r="E26" s="174" t="s">
        <v>199</v>
      </c>
      <c r="F26" s="204" t="s">
        <v>159</v>
      </c>
      <c r="G26" s="251"/>
      <c r="H26" s="205" t="s">
        <v>227</v>
      </c>
      <c r="I26" s="237"/>
      <c r="J26" s="140"/>
      <c r="K26" s="103"/>
      <c r="L26" s="104"/>
      <c r="M26" s="185"/>
      <c r="N26" s="103"/>
      <c r="O26" s="104"/>
      <c r="P26" s="185"/>
      <c r="Q26" s="103"/>
      <c r="R26" s="104"/>
      <c r="S26" s="185" t="s">
        <v>193</v>
      </c>
      <c r="T26" s="103"/>
      <c r="U26" s="104"/>
      <c r="V26" s="186"/>
      <c r="W26" s="161" t="s">
        <v>341</v>
      </c>
      <c r="X26" s="128"/>
      <c r="Y26" s="30"/>
      <c r="Z26" s="25">
        <v>2</v>
      </c>
      <c r="AA26" s="23" t="s">
        <v>33</v>
      </c>
    </row>
    <row r="27" spans="1:29" ht="52.15" customHeight="1">
      <c r="A27" s="261"/>
      <c r="B27" s="273"/>
      <c r="C27" s="264"/>
      <c r="D27" s="273"/>
      <c r="E27" s="174" t="s">
        <v>250</v>
      </c>
      <c r="F27" s="204" t="s">
        <v>160</v>
      </c>
      <c r="G27" s="240"/>
      <c r="H27" s="205" t="s">
        <v>228</v>
      </c>
      <c r="I27" s="237"/>
      <c r="J27" s="140"/>
      <c r="K27" s="103"/>
      <c r="L27" s="104"/>
      <c r="M27" s="185"/>
      <c r="N27" s="103"/>
      <c r="O27" s="104"/>
      <c r="P27" s="185"/>
      <c r="Q27" s="103"/>
      <c r="R27" s="104"/>
      <c r="S27" s="185" t="s">
        <v>192</v>
      </c>
      <c r="T27" s="103"/>
      <c r="U27" s="104"/>
      <c r="V27" s="186"/>
      <c r="W27" s="161" t="s">
        <v>31</v>
      </c>
      <c r="X27" s="128"/>
      <c r="Y27" s="30"/>
      <c r="Z27" s="25">
        <v>2</v>
      </c>
      <c r="AA27" s="23" t="s">
        <v>33</v>
      </c>
    </row>
    <row r="28" spans="1:29" ht="52.15" customHeight="1">
      <c r="A28" s="261"/>
      <c r="B28" s="273"/>
      <c r="C28" s="264"/>
      <c r="D28" s="273"/>
      <c r="E28" s="174" t="s">
        <v>253</v>
      </c>
      <c r="F28" s="26" t="s">
        <v>249</v>
      </c>
      <c r="G28" s="239" t="s">
        <v>274</v>
      </c>
      <c r="H28" s="205" t="s">
        <v>272</v>
      </c>
      <c r="I28" s="237"/>
      <c r="J28" s="140"/>
      <c r="K28" s="103"/>
      <c r="L28" s="104"/>
      <c r="M28" s="185"/>
      <c r="N28" s="103"/>
      <c r="O28" s="104"/>
      <c r="P28" s="185"/>
      <c r="Q28" s="103"/>
      <c r="R28" s="104"/>
      <c r="S28" s="185"/>
      <c r="T28" s="103" t="s">
        <v>277</v>
      </c>
      <c r="U28" s="104"/>
      <c r="V28" s="186"/>
      <c r="W28" s="161" t="s">
        <v>343</v>
      </c>
      <c r="X28" s="247" t="s">
        <v>275</v>
      </c>
      <c r="Y28" s="30"/>
      <c r="Z28" s="25">
        <v>2</v>
      </c>
      <c r="AA28" s="23" t="s">
        <v>33</v>
      </c>
    </row>
    <row r="29" spans="1:29" ht="52.15" customHeight="1">
      <c r="A29" s="261"/>
      <c r="B29" s="273"/>
      <c r="C29" s="264"/>
      <c r="D29" s="273"/>
      <c r="E29" s="174" t="s">
        <v>270</v>
      </c>
      <c r="F29" s="204" t="s">
        <v>252</v>
      </c>
      <c r="G29" s="240"/>
      <c r="H29" s="205" t="s">
        <v>273</v>
      </c>
      <c r="I29" s="237"/>
      <c r="J29" s="140"/>
      <c r="K29" s="103"/>
      <c r="L29" s="104"/>
      <c r="M29" s="185"/>
      <c r="N29" s="103"/>
      <c r="O29" s="104"/>
      <c r="P29" s="185"/>
      <c r="Q29" s="103"/>
      <c r="R29" s="104"/>
      <c r="S29" s="185"/>
      <c r="T29" s="103" t="s">
        <v>278</v>
      </c>
      <c r="U29" s="104"/>
      <c r="V29" s="186"/>
      <c r="W29" s="161" t="s">
        <v>34</v>
      </c>
      <c r="X29" s="248"/>
      <c r="Y29" s="30"/>
      <c r="Z29" s="25">
        <v>2</v>
      </c>
      <c r="AA29" s="23" t="s">
        <v>33</v>
      </c>
    </row>
    <row r="30" spans="1:29" ht="35.1" customHeight="1">
      <c r="A30" s="264" t="s">
        <v>251</v>
      </c>
      <c r="B30" s="273"/>
      <c r="C30" s="264"/>
      <c r="D30" s="273"/>
      <c r="E30" s="234" t="s">
        <v>206</v>
      </c>
      <c r="F30" s="26" t="s">
        <v>203</v>
      </c>
      <c r="G30" s="228" t="s">
        <v>207</v>
      </c>
      <c r="H30" s="135" t="s">
        <v>229</v>
      </c>
      <c r="I30" s="237"/>
      <c r="J30" s="141"/>
      <c r="K30" s="103"/>
      <c r="L30" s="104"/>
      <c r="M30" s="185"/>
      <c r="N30" s="167"/>
      <c r="O30" s="104"/>
      <c r="P30" s="185"/>
      <c r="Q30" s="103"/>
      <c r="R30" s="104" t="s">
        <v>19</v>
      </c>
      <c r="S30" s="187"/>
      <c r="T30" s="103"/>
      <c r="U30" s="104"/>
      <c r="V30" s="186"/>
      <c r="W30" s="161" t="s">
        <v>342</v>
      </c>
      <c r="X30" s="230" t="s">
        <v>212</v>
      </c>
      <c r="Y30" s="30"/>
      <c r="Z30" s="25">
        <v>3</v>
      </c>
      <c r="AA30" s="24" t="s">
        <v>125</v>
      </c>
    </row>
    <row r="31" spans="1:29" ht="35.1" customHeight="1">
      <c r="A31" s="264"/>
      <c r="B31" s="273"/>
      <c r="C31" s="264"/>
      <c r="D31" s="273"/>
      <c r="E31" s="234"/>
      <c r="F31" s="26" t="s">
        <v>204</v>
      </c>
      <c r="G31" s="270"/>
      <c r="H31" s="135" t="s">
        <v>229</v>
      </c>
      <c r="I31" s="237"/>
      <c r="J31" s="141"/>
      <c r="K31" s="103"/>
      <c r="L31" s="104"/>
      <c r="M31" s="185"/>
      <c r="N31" s="167"/>
      <c r="O31" s="104"/>
      <c r="P31" s="185"/>
      <c r="Q31" s="103"/>
      <c r="R31" s="104" t="s">
        <v>19</v>
      </c>
      <c r="S31" s="187"/>
      <c r="T31" s="103"/>
      <c r="U31" s="104"/>
      <c r="V31" s="186"/>
      <c r="W31" s="161" t="s">
        <v>344</v>
      </c>
      <c r="X31" s="231"/>
      <c r="Y31" s="30"/>
      <c r="Z31" s="25">
        <v>3</v>
      </c>
      <c r="AA31" s="24" t="s">
        <v>125</v>
      </c>
    </row>
    <row r="32" spans="1:29" ht="35.1" customHeight="1">
      <c r="A32" s="264"/>
      <c r="B32" s="273"/>
      <c r="C32" s="264"/>
      <c r="D32" s="273"/>
      <c r="E32" s="234"/>
      <c r="F32" s="26" t="s">
        <v>205</v>
      </c>
      <c r="G32" s="270"/>
      <c r="H32" s="135" t="s">
        <v>230</v>
      </c>
      <c r="I32" s="237"/>
      <c r="J32" s="141"/>
      <c r="K32" s="103"/>
      <c r="L32" s="104"/>
      <c r="M32" s="185"/>
      <c r="N32" s="167"/>
      <c r="O32" s="104"/>
      <c r="P32" s="185"/>
      <c r="Q32" s="103"/>
      <c r="R32" s="104" t="s">
        <v>19</v>
      </c>
      <c r="S32" s="187"/>
      <c r="T32" s="103"/>
      <c r="U32" s="104"/>
      <c r="V32" s="186"/>
      <c r="W32" s="161" t="s">
        <v>342</v>
      </c>
      <c r="X32" s="231"/>
      <c r="Y32" s="30"/>
      <c r="Z32" s="25">
        <v>3</v>
      </c>
      <c r="AA32" s="24" t="s">
        <v>125</v>
      </c>
    </row>
    <row r="33" spans="1:27" ht="35.1" customHeight="1">
      <c r="A33" s="264"/>
      <c r="B33" s="273"/>
      <c r="C33" s="264"/>
      <c r="D33" s="273"/>
      <c r="E33" s="163"/>
      <c r="F33" s="26" t="s">
        <v>377</v>
      </c>
      <c r="G33" s="270"/>
      <c r="H33" s="135"/>
      <c r="I33" s="237"/>
      <c r="J33" s="141"/>
      <c r="K33" s="103"/>
      <c r="L33" s="104"/>
      <c r="M33" s="185"/>
      <c r="N33" s="167"/>
      <c r="O33" s="104"/>
      <c r="P33" s="185"/>
      <c r="Q33" s="103"/>
      <c r="R33" s="104" t="s">
        <v>19</v>
      </c>
      <c r="S33" s="187"/>
      <c r="T33" s="103"/>
      <c r="U33" s="104"/>
      <c r="V33" s="186"/>
      <c r="W33" s="161" t="s">
        <v>375</v>
      </c>
      <c r="X33" s="232"/>
      <c r="Y33" s="162"/>
      <c r="Z33" s="25"/>
      <c r="AA33" s="24"/>
    </row>
    <row r="34" spans="1:27" ht="35.1" customHeight="1">
      <c r="A34" s="264"/>
      <c r="B34" s="273"/>
      <c r="C34" s="264"/>
      <c r="D34" s="273"/>
      <c r="E34" s="210" t="s">
        <v>415</v>
      </c>
      <c r="F34" s="26" t="s">
        <v>416</v>
      </c>
      <c r="G34" s="270"/>
      <c r="H34" s="135" t="s">
        <v>418</v>
      </c>
      <c r="I34" s="237"/>
      <c r="J34" s="141"/>
      <c r="K34" s="103"/>
      <c r="L34" s="104"/>
      <c r="M34" s="185"/>
      <c r="N34" s="167"/>
      <c r="O34" s="104"/>
      <c r="P34" s="185"/>
      <c r="Q34" s="103" t="s">
        <v>19</v>
      </c>
      <c r="R34" s="104"/>
      <c r="S34" s="185"/>
      <c r="T34" s="103"/>
      <c r="U34" s="104"/>
      <c r="V34" s="186"/>
      <c r="W34" s="161" t="s">
        <v>417</v>
      </c>
      <c r="X34" s="170" t="s">
        <v>423</v>
      </c>
      <c r="Y34" s="169"/>
      <c r="Z34" s="25"/>
      <c r="AA34" s="24"/>
    </row>
    <row r="35" spans="1:27" ht="35.1" customHeight="1">
      <c r="A35" s="264"/>
      <c r="B35" s="273"/>
      <c r="C35" s="264"/>
      <c r="D35" s="273"/>
      <c r="E35" s="233" t="s">
        <v>177</v>
      </c>
      <c r="F35" s="26" t="s">
        <v>161</v>
      </c>
      <c r="G35" s="270"/>
      <c r="H35" s="135" t="s">
        <v>231</v>
      </c>
      <c r="I35" s="237"/>
      <c r="J35" s="140"/>
      <c r="K35" s="103"/>
      <c r="L35" s="104"/>
      <c r="M35" s="185"/>
      <c r="N35" s="167"/>
      <c r="O35" s="104"/>
      <c r="P35" s="185" t="s">
        <v>432</v>
      </c>
      <c r="Q35" s="103"/>
      <c r="R35" s="104"/>
      <c r="S35" s="185"/>
      <c r="T35" s="103"/>
      <c r="U35" s="104"/>
      <c r="V35" s="186"/>
      <c r="W35" s="161" t="s">
        <v>126</v>
      </c>
      <c r="X35" s="128"/>
      <c r="Y35" s="30"/>
      <c r="Z35" s="25">
        <v>3</v>
      </c>
      <c r="AA35" s="24" t="s">
        <v>125</v>
      </c>
    </row>
    <row r="36" spans="1:27" ht="35.1" customHeight="1">
      <c r="A36" s="264"/>
      <c r="B36" s="273"/>
      <c r="C36" s="264"/>
      <c r="D36" s="273"/>
      <c r="E36" s="234"/>
      <c r="F36" s="26" t="s">
        <v>379</v>
      </c>
      <c r="G36" s="270"/>
      <c r="H36" s="135" t="s">
        <v>402</v>
      </c>
      <c r="I36" s="237"/>
      <c r="J36" s="141" t="s">
        <v>422</v>
      </c>
      <c r="K36" s="103"/>
      <c r="L36" s="104"/>
      <c r="M36" s="185"/>
      <c r="N36" s="103" t="s">
        <v>405</v>
      </c>
      <c r="O36" s="104"/>
      <c r="P36" s="185" t="s">
        <v>419</v>
      </c>
      <c r="Q36" s="103"/>
      <c r="R36" s="104"/>
      <c r="S36" s="185"/>
      <c r="T36" s="103"/>
      <c r="U36" s="104"/>
      <c r="V36" s="186"/>
      <c r="W36" s="161" t="s">
        <v>412</v>
      </c>
      <c r="X36" s="128" t="s">
        <v>414</v>
      </c>
      <c r="Y36" s="30"/>
      <c r="Z36" s="25">
        <v>3</v>
      </c>
      <c r="AA36" s="24" t="s">
        <v>125</v>
      </c>
    </row>
    <row r="37" spans="1:27" ht="35.1" customHeight="1">
      <c r="A37" s="264"/>
      <c r="B37" s="273"/>
      <c r="C37" s="264"/>
      <c r="D37" s="273"/>
      <c r="E37" s="234"/>
      <c r="F37" s="26" t="s">
        <v>403</v>
      </c>
      <c r="G37" s="270"/>
      <c r="H37" s="135" t="s">
        <v>348</v>
      </c>
      <c r="I37" s="237"/>
      <c r="J37" s="140" t="s">
        <v>421</v>
      </c>
      <c r="K37" s="103"/>
      <c r="L37" s="104"/>
      <c r="M37" s="185"/>
      <c r="N37" s="103"/>
      <c r="O37" s="104"/>
      <c r="P37" s="185" t="s">
        <v>420</v>
      </c>
      <c r="Q37" s="103"/>
      <c r="R37" s="104"/>
      <c r="S37" s="185"/>
      <c r="T37" s="103"/>
      <c r="U37" s="104"/>
      <c r="V37" s="186"/>
      <c r="W37" s="161" t="s">
        <v>406</v>
      </c>
      <c r="X37" s="128" t="s">
        <v>404</v>
      </c>
      <c r="Y37" s="166"/>
      <c r="Z37" s="25">
        <v>3</v>
      </c>
      <c r="AA37" s="24" t="s">
        <v>125</v>
      </c>
    </row>
    <row r="38" spans="1:27" ht="35.1" customHeight="1">
      <c r="A38" s="264"/>
      <c r="B38" s="273"/>
      <c r="C38" s="264"/>
      <c r="D38" s="273"/>
      <c r="E38" s="235"/>
      <c r="F38" s="26" t="s">
        <v>162</v>
      </c>
      <c r="G38" s="270"/>
      <c r="H38" s="135" t="s">
        <v>232</v>
      </c>
      <c r="I38" s="237"/>
      <c r="J38" s="140"/>
      <c r="K38" s="103"/>
      <c r="L38" s="104"/>
      <c r="M38" s="185"/>
      <c r="N38" s="103"/>
      <c r="O38" s="104"/>
      <c r="P38" s="185"/>
      <c r="Q38" s="103"/>
      <c r="R38" s="104"/>
      <c r="S38" s="185"/>
      <c r="T38" s="103" t="s">
        <v>191</v>
      </c>
      <c r="U38" s="104"/>
      <c r="V38" s="186"/>
      <c r="W38" s="161" t="s">
        <v>34</v>
      </c>
      <c r="X38" s="129"/>
      <c r="Y38" s="162"/>
      <c r="Z38" s="25">
        <v>3</v>
      </c>
      <c r="AA38" s="24" t="s">
        <v>125</v>
      </c>
    </row>
    <row r="39" spans="1:27" ht="35.1" customHeight="1">
      <c r="A39" s="264"/>
      <c r="B39" s="273"/>
      <c r="C39" s="264"/>
      <c r="D39" s="273"/>
      <c r="E39" s="283" t="s">
        <v>178</v>
      </c>
      <c r="F39" s="108" t="s">
        <v>163</v>
      </c>
      <c r="G39" s="270"/>
      <c r="H39" s="135" t="s">
        <v>233</v>
      </c>
      <c r="I39" s="237"/>
      <c r="J39" s="140"/>
      <c r="K39" s="101"/>
      <c r="L39" s="102"/>
      <c r="M39" s="184"/>
      <c r="N39" s="101"/>
      <c r="O39" s="102"/>
      <c r="P39" s="184"/>
      <c r="Q39" s="101"/>
      <c r="R39" s="102" t="s">
        <v>194</v>
      </c>
      <c r="S39" s="184"/>
      <c r="T39" s="101"/>
      <c r="U39" s="102"/>
      <c r="V39" s="183"/>
      <c r="W39" s="161" t="s">
        <v>336</v>
      </c>
      <c r="X39" s="129"/>
      <c r="Y39" s="30"/>
      <c r="Z39" s="25">
        <v>3</v>
      </c>
      <c r="AA39" s="24" t="s">
        <v>125</v>
      </c>
    </row>
    <row r="40" spans="1:27" ht="35.1" customHeight="1">
      <c r="A40" s="264"/>
      <c r="B40" s="273"/>
      <c r="C40" s="264"/>
      <c r="D40" s="273"/>
      <c r="E40" s="283"/>
      <c r="F40" s="108" t="s">
        <v>164</v>
      </c>
      <c r="G40" s="270"/>
      <c r="H40" s="135" t="s">
        <v>234</v>
      </c>
      <c r="I40" s="237"/>
      <c r="J40" s="140"/>
      <c r="K40" s="101"/>
      <c r="L40" s="102"/>
      <c r="M40" s="184"/>
      <c r="N40" s="101"/>
      <c r="O40" s="102"/>
      <c r="P40" s="184"/>
      <c r="Q40" s="101"/>
      <c r="R40" s="102" t="s">
        <v>194</v>
      </c>
      <c r="S40" s="184"/>
      <c r="T40" s="101"/>
      <c r="U40" s="102"/>
      <c r="V40" s="183"/>
      <c r="W40" s="161" t="s">
        <v>333</v>
      </c>
      <c r="X40" s="129"/>
      <c r="Y40" s="30"/>
      <c r="Z40" s="25">
        <v>3</v>
      </c>
      <c r="AA40" s="24" t="s">
        <v>125</v>
      </c>
    </row>
    <row r="41" spans="1:27" ht="35.1" customHeight="1">
      <c r="A41" s="264"/>
      <c r="B41" s="273"/>
      <c r="C41" s="264"/>
      <c r="D41" s="273"/>
      <c r="E41" s="172" t="s">
        <v>353</v>
      </c>
      <c r="F41" s="108" t="s">
        <v>354</v>
      </c>
      <c r="G41" s="270"/>
      <c r="H41" s="135" t="s">
        <v>355</v>
      </c>
      <c r="I41" s="237"/>
      <c r="J41" s="140" t="s">
        <v>395</v>
      </c>
      <c r="K41" s="101"/>
      <c r="L41" s="102" t="s">
        <v>133</v>
      </c>
      <c r="M41" s="184"/>
      <c r="N41" s="101"/>
      <c r="O41" s="102"/>
      <c r="P41" s="184"/>
      <c r="Q41" s="101"/>
      <c r="R41" s="102"/>
      <c r="S41" s="184"/>
      <c r="T41" s="101"/>
      <c r="U41" s="102"/>
      <c r="V41" s="183"/>
      <c r="W41" s="161" t="s">
        <v>356</v>
      </c>
      <c r="X41" s="129"/>
      <c r="Y41" s="30"/>
      <c r="Z41" s="25">
        <v>3</v>
      </c>
      <c r="AA41" s="24" t="s">
        <v>125</v>
      </c>
    </row>
    <row r="42" spans="1:27" ht="35.1" customHeight="1">
      <c r="A42" s="264"/>
      <c r="B42" s="273"/>
      <c r="C42" s="264"/>
      <c r="D42" s="273"/>
      <c r="E42" s="172" t="s">
        <v>179</v>
      </c>
      <c r="F42" s="108" t="s">
        <v>165</v>
      </c>
      <c r="G42" s="270"/>
      <c r="H42" s="135" t="s">
        <v>235</v>
      </c>
      <c r="I42" s="237"/>
      <c r="J42" s="140"/>
      <c r="K42" s="101"/>
      <c r="L42" s="102"/>
      <c r="M42" s="184"/>
      <c r="N42" s="101"/>
      <c r="O42" s="102"/>
      <c r="P42" s="184"/>
      <c r="Q42" s="101"/>
      <c r="R42" s="102"/>
      <c r="S42" s="184" t="s">
        <v>194</v>
      </c>
      <c r="T42" s="101"/>
      <c r="U42" s="102"/>
      <c r="V42" s="183"/>
      <c r="W42" s="161" t="s">
        <v>334</v>
      </c>
      <c r="X42" s="130"/>
      <c r="Y42" s="30"/>
      <c r="Z42" s="25">
        <v>3</v>
      </c>
      <c r="AA42" s="24" t="s">
        <v>125</v>
      </c>
    </row>
    <row r="43" spans="1:27" ht="35.1" customHeight="1">
      <c r="A43" s="264"/>
      <c r="B43" s="273"/>
      <c r="C43" s="264"/>
      <c r="D43" s="273"/>
      <c r="E43" s="172" t="s">
        <v>180</v>
      </c>
      <c r="F43" s="26" t="s">
        <v>166</v>
      </c>
      <c r="G43" s="270"/>
      <c r="H43" s="135" t="s">
        <v>236</v>
      </c>
      <c r="I43" s="237"/>
      <c r="J43" s="140" t="s">
        <v>396</v>
      </c>
      <c r="K43" s="103"/>
      <c r="L43" s="104"/>
      <c r="M43" s="104" t="s">
        <v>391</v>
      </c>
      <c r="N43" s="103"/>
      <c r="O43" s="104"/>
      <c r="P43" s="185"/>
      <c r="Q43" s="103"/>
      <c r="R43" s="104"/>
      <c r="S43" s="185"/>
      <c r="T43" s="103"/>
      <c r="U43" s="104"/>
      <c r="V43" s="186"/>
      <c r="W43" s="161" t="s">
        <v>345</v>
      </c>
      <c r="X43" s="130"/>
      <c r="Y43" s="30"/>
      <c r="Z43" s="25">
        <v>3</v>
      </c>
      <c r="AA43" s="24" t="s">
        <v>125</v>
      </c>
    </row>
    <row r="44" spans="1:27" ht="35.1" customHeight="1">
      <c r="A44" s="264"/>
      <c r="B44" s="273"/>
      <c r="C44" s="264"/>
      <c r="D44" s="273"/>
      <c r="E44" s="122" t="s">
        <v>181</v>
      </c>
      <c r="F44" s="206" t="s">
        <v>167</v>
      </c>
      <c r="G44" s="270"/>
      <c r="H44" s="135" t="s">
        <v>237</v>
      </c>
      <c r="I44" s="237"/>
      <c r="J44" s="212" t="s">
        <v>426</v>
      </c>
      <c r="K44" s="103"/>
      <c r="L44" s="104"/>
      <c r="M44" s="185"/>
      <c r="N44" s="103"/>
      <c r="O44" s="104"/>
      <c r="P44" s="211" t="s">
        <v>133</v>
      </c>
      <c r="Q44" s="103"/>
      <c r="R44" s="104"/>
      <c r="S44" s="185"/>
      <c r="T44" s="103"/>
      <c r="U44" s="104"/>
      <c r="V44" s="186"/>
      <c r="W44" s="161" t="s">
        <v>342</v>
      </c>
      <c r="X44" s="131"/>
      <c r="Y44" s="30"/>
      <c r="Z44" s="25">
        <v>3</v>
      </c>
      <c r="AA44" s="24" t="s">
        <v>125</v>
      </c>
    </row>
    <row r="45" spans="1:27" ht="35.1" customHeight="1">
      <c r="A45" s="264"/>
      <c r="B45" s="273"/>
      <c r="C45" s="264"/>
      <c r="D45" s="274"/>
      <c r="E45" s="122" t="s">
        <v>182</v>
      </c>
      <c r="F45" s="206" t="s">
        <v>168</v>
      </c>
      <c r="G45" s="270"/>
      <c r="H45" s="135" t="s">
        <v>238</v>
      </c>
      <c r="I45" s="237"/>
      <c r="J45" s="140"/>
      <c r="K45" s="103"/>
      <c r="L45" s="104"/>
      <c r="M45" s="185"/>
      <c r="N45" s="103"/>
      <c r="O45" s="104"/>
      <c r="P45" s="185"/>
      <c r="Q45" s="103"/>
      <c r="R45" s="104"/>
      <c r="S45" s="185" t="s">
        <v>19</v>
      </c>
      <c r="T45" s="103"/>
      <c r="U45" s="104"/>
      <c r="V45" s="186"/>
      <c r="W45" s="161" t="s">
        <v>31</v>
      </c>
      <c r="X45" s="130"/>
      <c r="Y45" s="30"/>
      <c r="Z45" s="25">
        <v>3</v>
      </c>
      <c r="AA45" s="24" t="s">
        <v>125</v>
      </c>
    </row>
    <row r="46" spans="1:27" ht="35.1" customHeight="1">
      <c r="A46" s="264"/>
      <c r="B46" s="273"/>
      <c r="C46" s="282" t="s">
        <v>124</v>
      </c>
      <c r="D46" s="278" t="s">
        <v>189</v>
      </c>
      <c r="E46" s="233" t="s">
        <v>186</v>
      </c>
      <c r="F46" s="26" t="s">
        <v>171</v>
      </c>
      <c r="G46" s="270"/>
      <c r="H46" s="135" t="s">
        <v>239</v>
      </c>
      <c r="I46" s="237"/>
      <c r="J46" s="140" t="s">
        <v>397</v>
      </c>
      <c r="K46" s="103"/>
      <c r="L46" s="104"/>
      <c r="M46" s="104" t="s">
        <v>133</v>
      </c>
      <c r="N46" s="103"/>
      <c r="O46" s="104"/>
      <c r="P46" s="185"/>
      <c r="Q46" s="103"/>
      <c r="R46" s="104"/>
      <c r="S46" s="185"/>
      <c r="T46" s="103"/>
      <c r="U46" s="104"/>
      <c r="V46" s="186"/>
      <c r="W46" s="161" t="s">
        <v>346</v>
      </c>
      <c r="X46" s="131"/>
      <c r="Y46" s="30"/>
      <c r="Z46" s="25">
        <v>3</v>
      </c>
      <c r="AA46" s="155" t="s">
        <v>351</v>
      </c>
    </row>
    <row r="47" spans="1:27" ht="35.1" customHeight="1">
      <c r="A47" s="264"/>
      <c r="B47" s="273"/>
      <c r="C47" s="282"/>
      <c r="D47" s="278"/>
      <c r="E47" s="234"/>
      <c r="F47" s="26" t="s">
        <v>172</v>
      </c>
      <c r="G47" s="270"/>
      <c r="H47" s="135" t="s">
        <v>240</v>
      </c>
      <c r="I47" s="237"/>
      <c r="J47" s="140" t="s">
        <v>398</v>
      </c>
      <c r="K47" s="103"/>
      <c r="L47" s="104"/>
      <c r="M47" s="185" t="s">
        <v>390</v>
      </c>
      <c r="N47" s="103"/>
      <c r="O47" s="104"/>
      <c r="P47" s="185"/>
      <c r="Q47" s="103"/>
      <c r="R47" s="104"/>
      <c r="S47" s="185"/>
      <c r="T47" s="103"/>
      <c r="U47" s="104"/>
      <c r="V47" s="186"/>
      <c r="W47" s="161" t="s">
        <v>341</v>
      </c>
      <c r="X47" s="131"/>
      <c r="Y47" s="30"/>
      <c r="Z47" s="25">
        <v>3</v>
      </c>
      <c r="AA47" s="155" t="s">
        <v>351</v>
      </c>
    </row>
    <row r="48" spans="1:27" ht="35.1" customHeight="1">
      <c r="A48" s="264"/>
      <c r="B48" s="273"/>
      <c r="C48" s="282"/>
      <c r="D48" s="278"/>
      <c r="E48" s="234"/>
      <c r="F48" s="26" t="s">
        <v>173</v>
      </c>
      <c r="G48" s="270"/>
      <c r="H48" s="135" t="s">
        <v>241</v>
      </c>
      <c r="I48" s="237"/>
      <c r="J48" s="140"/>
      <c r="K48" s="103"/>
      <c r="L48" s="104"/>
      <c r="M48" s="185"/>
      <c r="N48" s="103"/>
      <c r="O48" s="104"/>
      <c r="P48" s="185"/>
      <c r="Q48" s="103"/>
      <c r="R48" s="104"/>
      <c r="S48" s="185"/>
      <c r="T48" s="103" t="s">
        <v>194</v>
      </c>
      <c r="U48" s="104"/>
      <c r="V48" s="186"/>
      <c r="W48" s="161" t="s">
        <v>290</v>
      </c>
      <c r="X48" s="131"/>
      <c r="Y48" s="30"/>
      <c r="Z48" s="25">
        <v>3</v>
      </c>
      <c r="AA48" s="155" t="s">
        <v>351</v>
      </c>
    </row>
    <row r="49" spans="1:29" ht="35.1" customHeight="1">
      <c r="A49" s="264"/>
      <c r="B49" s="273"/>
      <c r="C49" s="282"/>
      <c r="D49" s="278"/>
      <c r="E49" s="235"/>
      <c r="F49" s="108" t="s">
        <v>349</v>
      </c>
      <c r="G49" s="270"/>
      <c r="H49" s="135" t="s">
        <v>348</v>
      </c>
      <c r="I49" s="237"/>
      <c r="J49" s="140" t="s">
        <v>363</v>
      </c>
      <c r="K49" s="101"/>
      <c r="L49" s="102" t="s">
        <v>362</v>
      </c>
      <c r="M49" s="184"/>
      <c r="N49" s="101"/>
      <c r="O49" s="102"/>
      <c r="P49" s="184"/>
      <c r="Q49" s="101"/>
      <c r="R49" s="102"/>
      <c r="S49" s="184"/>
      <c r="T49" s="101"/>
      <c r="U49" s="102"/>
      <c r="V49" s="183"/>
      <c r="W49" s="188" t="s">
        <v>282</v>
      </c>
      <c r="X49" s="131"/>
      <c r="Y49" s="30"/>
      <c r="Z49" s="25">
        <v>3</v>
      </c>
      <c r="AA49" s="155" t="s">
        <v>351</v>
      </c>
    </row>
    <row r="50" spans="1:29" s="111" customFormat="1" ht="35.1" customHeight="1">
      <c r="A50" s="264"/>
      <c r="B50" s="273"/>
      <c r="C50" s="282"/>
      <c r="D50" s="278"/>
      <c r="E50" s="172" t="s">
        <v>132</v>
      </c>
      <c r="F50" s="26" t="s">
        <v>175</v>
      </c>
      <c r="G50" s="270"/>
      <c r="H50" s="135" t="s">
        <v>243</v>
      </c>
      <c r="I50" s="237"/>
      <c r="J50" s="140"/>
      <c r="K50" s="103"/>
      <c r="L50" s="104"/>
      <c r="M50" s="185"/>
      <c r="N50" s="103"/>
      <c r="O50" s="104"/>
      <c r="P50" s="185" t="s">
        <v>194</v>
      </c>
      <c r="Q50" s="103"/>
      <c r="R50" s="104"/>
      <c r="S50" s="185"/>
      <c r="T50" s="103"/>
      <c r="U50" s="104"/>
      <c r="V50" s="186"/>
      <c r="W50" s="161" t="s">
        <v>345</v>
      </c>
      <c r="X50" s="131"/>
      <c r="Y50" s="110"/>
      <c r="Z50" s="25">
        <v>4</v>
      </c>
      <c r="AA50" s="24" t="s">
        <v>210</v>
      </c>
      <c r="AC50" s="112"/>
    </row>
    <row r="51" spans="1:29" s="111" customFormat="1" ht="35.1" customHeight="1">
      <c r="A51" s="264"/>
      <c r="B51" s="273"/>
      <c r="C51" s="282"/>
      <c r="D51" s="267" t="s">
        <v>187</v>
      </c>
      <c r="E51" s="172" t="s">
        <v>183</v>
      </c>
      <c r="F51" s="26" t="s">
        <v>169</v>
      </c>
      <c r="G51" s="270"/>
      <c r="H51" s="135" t="s">
        <v>242</v>
      </c>
      <c r="I51" s="237"/>
      <c r="J51" s="140"/>
      <c r="K51" s="103"/>
      <c r="L51" s="104"/>
      <c r="M51" s="185"/>
      <c r="N51" s="103"/>
      <c r="O51" s="104"/>
      <c r="P51" s="185"/>
      <c r="Q51" s="103" t="s">
        <v>201</v>
      </c>
      <c r="R51" s="104"/>
      <c r="S51" s="185"/>
      <c r="T51" s="103"/>
      <c r="U51" s="104"/>
      <c r="V51" s="186"/>
      <c r="W51" s="224" t="s">
        <v>433</v>
      </c>
      <c r="X51" s="131"/>
      <c r="Y51" s="110"/>
      <c r="Z51" s="25">
        <v>3</v>
      </c>
      <c r="AA51" s="155" t="s">
        <v>351</v>
      </c>
      <c r="AC51" s="112"/>
    </row>
    <row r="52" spans="1:29" ht="35.1" customHeight="1">
      <c r="A52" s="264"/>
      <c r="B52" s="273"/>
      <c r="C52" s="282"/>
      <c r="D52" s="268"/>
      <c r="E52" s="172" t="s">
        <v>185</v>
      </c>
      <c r="F52" s="26" t="s">
        <v>170</v>
      </c>
      <c r="G52" s="270"/>
      <c r="H52" s="135" t="s">
        <v>244</v>
      </c>
      <c r="I52" s="237"/>
      <c r="J52" s="140"/>
      <c r="K52" s="103"/>
      <c r="L52" s="104"/>
      <c r="M52" s="185"/>
      <c r="N52" s="103"/>
      <c r="O52" s="104"/>
      <c r="P52" s="185"/>
      <c r="Q52" s="103" t="s">
        <v>19</v>
      </c>
      <c r="R52" s="225"/>
      <c r="S52" s="185"/>
      <c r="T52" s="103"/>
      <c r="U52" s="104"/>
      <c r="V52" s="186"/>
      <c r="W52" s="161" t="s">
        <v>347</v>
      </c>
      <c r="X52" s="131"/>
      <c r="Y52" s="30"/>
      <c r="Z52" s="25">
        <v>3</v>
      </c>
      <c r="AA52" s="155" t="s">
        <v>351</v>
      </c>
    </row>
    <row r="53" spans="1:29" ht="35.1" customHeight="1">
      <c r="A53" s="264"/>
      <c r="B53" s="273"/>
      <c r="C53" s="282"/>
      <c r="D53" s="268"/>
      <c r="E53" s="172" t="s">
        <v>358</v>
      </c>
      <c r="F53" s="26" t="s">
        <v>359</v>
      </c>
      <c r="G53" s="270"/>
      <c r="H53" s="135" t="s">
        <v>360</v>
      </c>
      <c r="I53" s="238"/>
      <c r="J53" s="140" t="s">
        <v>399</v>
      </c>
      <c r="K53" s="103"/>
      <c r="L53" s="104"/>
      <c r="M53" s="185" t="s">
        <v>392</v>
      </c>
      <c r="N53" s="103"/>
      <c r="O53" s="104"/>
      <c r="P53" s="185"/>
      <c r="Q53" s="103"/>
      <c r="R53" s="104"/>
      <c r="S53" s="185"/>
      <c r="T53" s="103"/>
      <c r="U53" s="104"/>
      <c r="V53" s="186"/>
      <c r="W53" s="161" t="s">
        <v>361</v>
      </c>
      <c r="X53" s="131" t="s">
        <v>369</v>
      </c>
      <c r="Y53" s="30"/>
      <c r="Z53" s="25">
        <v>3</v>
      </c>
      <c r="AA53" s="155" t="s">
        <v>351</v>
      </c>
    </row>
    <row r="54" spans="1:29" ht="35.1" customHeight="1">
      <c r="A54" s="264"/>
      <c r="B54" s="273"/>
      <c r="C54" s="282"/>
      <c r="D54" s="269"/>
      <c r="E54" s="172" t="s">
        <v>370</v>
      </c>
      <c r="F54" s="108" t="s">
        <v>372</v>
      </c>
      <c r="G54" s="271"/>
      <c r="H54" s="135" t="s">
        <v>371</v>
      </c>
      <c r="I54" s="160"/>
      <c r="J54" s="140"/>
      <c r="K54" s="101"/>
      <c r="L54" s="102"/>
      <c r="M54" s="183"/>
      <c r="N54" s="101"/>
      <c r="O54" s="102"/>
      <c r="P54" s="184"/>
      <c r="Q54" s="101"/>
      <c r="R54" s="102"/>
      <c r="S54" s="184" t="s">
        <v>413</v>
      </c>
      <c r="T54" s="101"/>
      <c r="U54" s="102"/>
      <c r="V54" s="183"/>
      <c r="W54" s="223" t="s">
        <v>373</v>
      </c>
      <c r="X54" s="131" t="s">
        <v>374</v>
      </c>
      <c r="Y54" s="159"/>
      <c r="Z54" s="25">
        <v>3</v>
      </c>
      <c r="AA54" s="155" t="s">
        <v>351</v>
      </c>
    </row>
    <row r="55" spans="1:29" ht="35.1" customHeight="1">
      <c r="A55" s="264"/>
      <c r="B55" s="273"/>
      <c r="C55" s="282"/>
      <c r="D55" s="134" t="s">
        <v>188</v>
      </c>
      <c r="E55" s="283" t="s">
        <v>184</v>
      </c>
      <c r="F55" s="108" t="s">
        <v>174</v>
      </c>
      <c r="G55" s="207" t="s">
        <v>208</v>
      </c>
      <c r="H55" s="135" t="s">
        <v>245</v>
      </c>
      <c r="I55" s="262" t="s">
        <v>18</v>
      </c>
      <c r="J55" s="140"/>
      <c r="K55" s="101"/>
      <c r="L55" s="102"/>
      <c r="M55" s="102"/>
      <c r="N55" s="101"/>
      <c r="O55" s="102"/>
      <c r="P55" s="184" t="s">
        <v>133</v>
      </c>
      <c r="Q55" s="101"/>
      <c r="R55" s="102"/>
      <c r="S55" s="184"/>
      <c r="T55" s="101"/>
      <c r="U55" s="102"/>
      <c r="V55" s="183"/>
      <c r="W55" s="161" t="s">
        <v>338</v>
      </c>
      <c r="X55" s="131"/>
      <c r="Y55" s="30"/>
      <c r="Z55" s="25">
        <v>4</v>
      </c>
      <c r="AA55" s="24" t="s">
        <v>210</v>
      </c>
      <c r="AC55" s="1" t="s">
        <v>339</v>
      </c>
    </row>
    <row r="56" spans="1:29" ht="35.1" customHeight="1">
      <c r="A56" s="265"/>
      <c r="B56" s="273"/>
      <c r="C56" s="226" t="s">
        <v>131</v>
      </c>
      <c r="D56" s="176"/>
      <c r="E56" s="285"/>
      <c r="F56" s="213" t="s">
        <v>427</v>
      </c>
      <c r="G56" s="228" t="s">
        <v>209</v>
      </c>
      <c r="H56" s="214"/>
      <c r="I56" s="236"/>
      <c r="J56" s="215"/>
      <c r="K56" s="216"/>
      <c r="L56" s="217"/>
      <c r="M56" s="218"/>
      <c r="N56" s="216"/>
      <c r="O56" s="217"/>
      <c r="P56" s="219" t="s">
        <v>431</v>
      </c>
      <c r="Q56" s="216"/>
      <c r="R56" s="217"/>
      <c r="S56" s="219"/>
      <c r="T56" s="216"/>
      <c r="U56" s="217"/>
      <c r="V56" s="218"/>
      <c r="W56" s="220" t="s">
        <v>428</v>
      </c>
      <c r="X56" s="221"/>
      <c r="Y56" s="175"/>
      <c r="Z56" s="25"/>
      <c r="AA56" s="24"/>
    </row>
    <row r="57" spans="1:29" ht="35.1" customHeight="1" thickBot="1">
      <c r="A57" s="266"/>
      <c r="B57" s="277"/>
      <c r="C57" s="227"/>
      <c r="D57" s="133" t="s">
        <v>190</v>
      </c>
      <c r="E57" s="286"/>
      <c r="F57" s="208" t="s">
        <v>176</v>
      </c>
      <c r="G57" s="229"/>
      <c r="H57" s="209" t="s">
        <v>246</v>
      </c>
      <c r="I57" s="263"/>
      <c r="J57" s="142"/>
      <c r="K57" s="118"/>
      <c r="L57" s="119"/>
      <c r="M57" s="189"/>
      <c r="N57" s="118"/>
      <c r="O57" s="119"/>
      <c r="P57" s="189"/>
      <c r="Q57" s="118" t="s">
        <v>19</v>
      </c>
      <c r="R57" s="119"/>
      <c r="S57" s="189"/>
      <c r="T57" s="118"/>
      <c r="U57" s="119"/>
      <c r="V57" s="190"/>
      <c r="W57" s="191" t="s">
        <v>28</v>
      </c>
      <c r="X57" s="132"/>
      <c r="Y57" s="30"/>
      <c r="Z57" s="25">
        <v>4</v>
      </c>
      <c r="AA57" s="24" t="s">
        <v>211</v>
      </c>
    </row>
  </sheetData>
  <mergeCells count="35">
    <mergeCell ref="A5:A29"/>
    <mergeCell ref="I55:I57"/>
    <mergeCell ref="E46:E49"/>
    <mergeCell ref="A30:A57"/>
    <mergeCell ref="D51:D54"/>
    <mergeCell ref="G30:G54"/>
    <mergeCell ref="D18:D45"/>
    <mergeCell ref="B5:B57"/>
    <mergeCell ref="D46:D50"/>
    <mergeCell ref="C5:D12"/>
    <mergeCell ref="E30:E32"/>
    <mergeCell ref="C46:C55"/>
    <mergeCell ref="E39:E40"/>
    <mergeCell ref="C13:D17"/>
    <mergeCell ref="C18:C45"/>
    <mergeCell ref="E55:E57"/>
    <mergeCell ref="A1:X2"/>
    <mergeCell ref="A4:B4"/>
    <mergeCell ref="C4:D4"/>
    <mergeCell ref="E4:F4"/>
    <mergeCell ref="W3:X3"/>
    <mergeCell ref="A3:V3"/>
    <mergeCell ref="I5:I17"/>
    <mergeCell ref="E5:E11"/>
    <mergeCell ref="E13:E17"/>
    <mergeCell ref="E19:E20"/>
    <mergeCell ref="X28:X29"/>
    <mergeCell ref="E21:E23"/>
    <mergeCell ref="G13:G27"/>
    <mergeCell ref="C56:C57"/>
    <mergeCell ref="G56:G57"/>
    <mergeCell ref="X30:X33"/>
    <mergeCell ref="E35:E38"/>
    <mergeCell ref="I18:I53"/>
    <mergeCell ref="G28:G29"/>
  </mergeCells>
  <phoneticPr fontId="3" type="noConversion"/>
  <printOptions horizontalCentered="1"/>
  <pageMargins left="0" right="0" top="0.19685039370078741" bottom="0.19685039370078741" header="0" footer="0"/>
  <pageSetup paperSize="8" scale="64" fitToHeight="0" orientation="landscape" r:id="rId1"/>
  <rowBreaks count="2" manualBreakCount="2">
    <brk id="17" max="23" man="1"/>
    <brk id="42" max="2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rgb="FF92D050"/>
  </sheetPr>
  <dimension ref="C2:R241"/>
  <sheetViews>
    <sheetView topLeftCell="E151" zoomScale="130" zoomScaleNormal="130" workbookViewId="0">
      <selection activeCell="J169" sqref="J169"/>
    </sheetView>
  </sheetViews>
  <sheetFormatPr defaultColWidth="8.625" defaultRowHeight="16.5"/>
  <cols>
    <col min="1" max="2" width="6.75" style="7" customWidth="1"/>
    <col min="3" max="3" width="15.625" style="7" customWidth="1"/>
    <col min="4" max="4" width="36.625" style="9" customWidth="1"/>
    <col min="5" max="5" width="12.125" style="8" customWidth="1"/>
    <col min="6" max="6" width="19.625" style="9" customWidth="1"/>
    <col min="7" max="7" width="24.25" style="7" customWidth="1"/>
    <col min="8" max="8" width="28" style="7" customWidth="1"/>
    <col min="9" max="9" width="6.625" style="7" customWidth="1"/>
    <col min="10" max="10" width="10.625" style="7" customWidth="1"/>
    <col min="11" max="11" width="9.75" style="7" bestFit="1" customWidth="1"/>
    <col min="12" max="13" width="8.625" style="7" customWidth="1"/>
    <col min="14" max="15" width="8.625" style="7"/>
    <col min="16" max="16" width="32.75" style="7" customWidth="1"/>
    <col min="17" max="17" width="31.25" style="7" bestFit="1" customWidth="1"/>
    <col min="18" max="16384" width="8.625" style="7"/>
  </cols>
  <sheetData>
    <row r="2" spans="3:9" ht="26.25">
      <c r="C2" s="5" t="s">
        <v>75</v>
      </c>
      <c r="D2" s="27"/>
      <c r="E2" s="86"/>
      <c r="G2" s="5"/>
      <c r="H2" s="5"/>
      <c r="I2" s="6"/>
    </row>
    <row r="3" spans="3:9" ht="17.25" thickBot="1">
      <c r="C3" s="8"/>
      <c r="G3" s="10"/>
      <c r="H3" s="10"/>
      <c r="I3" s="6"/>
    </row>
    <row r="4" spans="3:9" ht="17.25" thickBot="1">
      <c r="C4" s="11" t="s">
        <v>36</v>
      </c>
      <c r="D4" s="50" t="s">
        <v>37</v>
      </c>
      <c r="E4" s="20" t="s">
        <v>87</v>
      </c>
      <c r="F4" s="12" t="s">
        <v>13</v>
      </c>
      <c r="G4" s="14" t="s">
        <v>38</v>
      </c>
      <c r="H4" s="13" t="s">
        <v>39</v>
      </c>
      <c r="I4" s="6"/>
    </row>
    <row r="5" spans="3:9" s="40" customFormat="1" ht="21" customHeight="1">
      <c r="C5" s="290" t="s">
        <v>76</v>
      </c>
      <c r="D5" s="51"/>
      <c r="E5" s="52"/>
      <c r="F5" s="53"/>
      <c r="G5" s="52"/>
      <c r="H5" s="54"/>
    </row>
    <row r="6" spans="3:9" s="40" customFormat="1" ht="21" customHeight="1">
      <c r="C6" s="288"/>
      <c r="D6" s="39"/>
      <c r="E6" s="38"/>
      <c r="F6" s="39"/>
      <c r="G6" s="38"/>
      <c r="H6" s="55"/>
    </row>
    <row r="7" spans="3:9" s="40" customFormat="1" ht="21" customHeight="1">
      <c r="C7" s="288"/>
      <c r="D7" s="39"/>
      <c r="E7" s="38"/>
      <c r="F7" s="39"/>
      <c r="G7" s="38"/>
      <c r="H7" s="55"/>
    </row>
    <row r="8" spans="3:9" s="40" customFormat="1" ht="21" customHeight="1">
      <c r="C8" s="288"/>
      <c r="D8" s="39"/>
      <c r="E8" s="38"/>
      <c r="F8" s="39"/>
      <c r="G8" s="38"/>
      <c r="H8" s="55"/>
    </row>
    <row r="9" spans="3:9" s="40" customFormat="1" ht="21" customHeight="1">
      <c r="C9" s="288"/>
      <c r="D9" s="39"/>
      <c r="E9" s="38"/>
      <c r="F9" s="39"/>
      <c r="G9" s="38"/>
      <c r="H9" s="55"/>
    </row>
    <row r="10" spans="3:9" s="40" customFormat="1" ht="21" customHeight="1">
      <c r="C10" s="288"/>
      <c r="D10" s="39"/>
      <c r="E10" s="38"/>
      <c r="F10" s="39"/>
      <c r="G10" s="38"/>
      <c r="H10" s="55"/>
    </row>
    <row r="11" spans="3:9" s="40" customFormat="1" ht="21" customHeight="1">
      <c r="C11" s="288"/>
      <c r="D11" s="39"/>
      <c r="E11" s="38"/>
      <c r="F11" s="39"/>
      <c r="G11" s="38"/>
      <c r="H11" s="55"/>
    </row>
    <row r="12" spans="3:9" s="40" customFormat="1" ht="21" customHeight="1">
      <c r="C12" s="288"/>
      <c r="D12" s="39"/>
      <c r="E12" s="38"/>
      <c r="F12" s="39"/>
      <c r="G12" s="38"/>
      <c r="H12" s="55"/>
    </row>
    <row r="13" spans="3:9" s="40" customFormat="1" ht="21" customHeight="1">
      <c r="C13" s="288"/>
      <c r="D13" s="39"/>
      <c r="E13" s="38"/>
      <c r="F13" s="39"/>
      <c r="G13" s="38"/>
      <c r="H13" s="55"/>
    </row>
    <row r="14" spans="3:9" s="40" customFormat="1" ht="21" customHeight="1">
      <c r="C14" s="288"/>
      <c r="D14" s="39"/>
      <c r="E14" s="38"/>
      <c r="F14" s="39"/>
      <c r="G14" s="38"/>
      <c r="H14" s="55"/>
    </row>
    <row r="15" spans="3:9" s="40" customFormat="1" ht="21" customHeight="1">
      <c r="C15" s="288"/>
      <c r="D15" s="39"/>
      <c r="E15" s="38"/>
      <c r="F15" s="39"/>
      <c r="G15" s="38"/>
      <c r="H15" s="55"/>
    </row>
    <row r="16" spans="3:9" s="40" customFormat="1" ht="21" customHeight="1">
      <c r="C16" s="288"/>
      <c r="D16" s="39"/>
      <c r="E16" s="38"/>
      <c r="F16" s="39"/>
      <c r="G16" s="38"/>
      <c r="H16" s="55"/>
    </row>
    <row r="17" spans="3:8" s="40" customFormat="1" ht="21" customHeight="1">
      <c r="C17" s="288"/>
      <c r="D17" s="39"/>
      <c r="E17" s="38"/>
      <c r="F17" s="39"/>
      <c r="G17" s="38"/>
      <c r="H17" s="55"/>
    </row>
    <row r="18" spans="3:8" s="40" customFormat="1" ht="21" customHeight="1">
      <c r="C18" s="288"/>
      <c r="D18" s="39"/>
      <c r="E18" s="38"/>
      <c r="F18" s="39"/>
      <c r="G18" s="38"/>
      <c r="H18" s="55"/>
    </row>
    <row r="19" spans="3:8" s="40" customFormat="1" ht="21" customHeight="1">
      <c r="C19" s="288"/>
      <c r="D19" s="39"/>
      <c r="E19" s="38"/>
      <c r="F19" s="39"/>
      <c r="G19" s="38"/>
      <c r="H19" s="55"/>
    </row>
    <row r="20" spans="3:8" s="40" customFormat="1" ht="21" customHeight="1" thickBot="1">
      <c r="C20" s="291"/>
      <c r="D20" s="64"/>
      <c r="E20" s="65"/>
      <c r="F20" s="64"/>
      <c r="G20" s="65"/>
      <c r="H20" s="66"/>
    </row>
    <row r="21" spans="3:8" s="40" customFormat="1" ht="21" customHeight="1">
      <c r="C21" s="287" t="s">
        <v>77</v>
      </c>
      <c r="D21" s="61" t="s">
        <v>381</v>
      </c>
      <c r="E21" s="62" t="s">
        <v>138</v>
      </c>
      <c r="F21" s="61" t="s">
        <v>380</v>
      </c>
      <c r="G21" s="62"/>
      <c r="H21" s="63"/>
    </row>
    <row r="22" spans="3:8" s="40" customFormat="1" ht="21" customHeight="1">
      <c r="C22" s="288"/>
      <c r="D22" s="39" t="s">
        <v>352</v>
      </c>
      <c r="E22" s="38" t="s">
        <v>138</v>
      </c>
      <c r="F22" s="39" t="s">
        <v>127</v>
      </c>
      <c r="G22" s="38"/>
      <c r="H22" s="55"/>
    </row>
    <row r="23" spans="3:8" s="40" customFormat="1" ht="21" customHeight="1">
      <c r="C23" s="288"/>
      <c r="D23" s="39"/>
      <c r="E23" s="38"/>
      <c r="F23" s="39"/>
      <c r="G23" s="38"/>
      <c r="H23" s="55"/>
    </row>
    <row r="24" spans="3:8" s="40" customFormat="1" ht="21" customHeight="1">
      <c r="C24" s="288"/>
      <c r="D24" s="39"/>
      <c r="E24" s="38"/>
      <c r="F24" s="39"/>
      <c r="G24" s="38"/>
      <c r="H24" s="55"/>
    </row>
    <row r="25" spans="3:8" s="40" customFormat="1" ht="21" customHeight="1">
      <c r="C25" s="288"/>
      <c r="D25" s="39"/>
      <c r="E25" s="38"/>
      <c r="F25" s="39"/>
      <c r="G25" s="38"/>
      <c r="H25" s="55"/>
    </row>
    <row r="26" spans="3:8" s="40" customFormat="1" ht="21" customHeight="1">
      <c r="C26" s="288"/>
      <c r="D26" s="39"/>
      <c r="E26" s="38"/>
      <c r="F26" s="39"/>
      <c r="G26" s="38"/>
      <c r="H26" s="55"/>
    </row>
    <row r="27" spans="3:8" s="40" customFormat="1" ht="21" customHeight="1">
      <c r="C27" s="288"/>
      <c r="D27" s="39"/>
      <c r="E27" s="38"/>
      <c r="F27" s="39"/>
      <c r="G27" s="38"/>
      <c r="H27" s="55"/>
    </row>
    <row r="28" spans="3:8" s="40" customFormat="1" ht="21" customHeight="1">
      <c r="C28" s="288"/>
      <c r="D28" s="39"/>
      <c r="E28" s="38"/>
      <c r="F28" s="39"/>
      <c r="G28" s="38"/>
      <c r="H28" s="55"/>
    </row>
    <row r="29" spans="3:8" s="40" customFormat="1" ht="21" customHeight="1">
      <c r="C29" s="288"/>
      <c r="D29" s="39"/>
      <c r="E29" s="38"/>
      <c r="F29" s="39"/>
      <c r="G29" s="38"/>
      <c r="H29" s="55"/>
    </row>
    <row r="30" spans="3:8" s="40" customFormat="1" ht="21" customHeight="1">
      <c r="C30" s="288"/>
      <c r="D30" s="39"/>
      <c r="E30" s="38"/>
      <c r="F30" s="39"/>
      <c r="G30" s="38"/>
      <c r="H30" s="55"/>
    </row>
    <row r="31" spans="3:8" s="40" customFormat="1" ht="21" customHeight="1">
      <c r="C31" s="288"/>
      <c r="D31" s="39"/>
      <c r="E31" s="38"/>
      <c r="F31" s="39"/>
      <c r="G31" s="38"/>
      <c r="H31" s="55"/>
    </row>
    <row r="32" spans="3:8" s="40" customFormat="1" ht="21" customHeight="1">
      <c r="C32" s="288"/>
      <c r="D32" s="39"/>
      <c r="E32" s="38"/>
      <c r="F32" s="39"/>
      <c r="G32" s="38"/>
      <c r="H32" s="55"/>
    </row>
    <row r="33" spans="3:11" s="40" customFormat="1" ht="21" customHeight="1">
      <c r="C33" s="288"/>
      <c r="D33" s="39"/>
      <c r="E33" s="38"/>
      <c r="F33" s="39"/>
      <c r="G33" s="38"/>
      <c r="H33" s="55"/>
    </row>
    <row r="34" spans="3:11" s="40" customFormat="1" ht="21" customHeight="1">
      <c r="C34" s="288"/>
      <c r="D34" s="39"/>
      <c r="E34" s="38"/>
      <c r="F34" s="39"/>
      <c r="G34" s="38"/>
      <c r="H34" s="55"/>
    </row>
    <row r="35" spans="3:11" s="40" customFormat="1" ht="21" customHeight="1">
      <c r="C35" s="288"/>
      <c r="D35" s="39"/>
      <c r="E35" s="38"/>
      <c r="F35" s="39"/>
      <c r="G35" s="38"/>
      <c r="H35" s="55"/>
    </row>
    <row r="36" spans="3:11" s="40" customFormat="1" ht="21" customHeight="1" thickBot="1">
      <c r="C36" s="289"/>
      <c r="D36" s="67"/>
      <c r="E36" s="68"/>
      <c r="F36" s="67"/>
      <c r="G36" s="68"/>
      <c r="H36" s="69"/>
    </row>
    <row r="37" spans="3:11" s="40" customFormat="1" ht="21" customHeight="1">
      <c r="C37" s="290" t="s">
        <v>4</v>
      </c>
      <c r="D37" s="53" t="s">
        <v>295</v>
      </c>
      <c r="E37" s="52" t="s">
        <v>137</v>
      </c>
      <c r="F37" s="53" t="s">
        <v>90</v>
      </c>
      <c r="G37" s="52"/>
      <c r="H37" s="54"/>
    </row>
    <row r="38" spans="3:11" s="40" customFormat="1" ht="21" customHeight="1">
      <c r="C38" s="288"/>
      <c r="D38" s="39" t="s">
        <v>300</v>
      </c>
      <c r="E38" s="38"/>
      <c r="F38" s="39"/>
      <c r="G38" s="38"/>
      <c r="H38" s="55"/>
    </row>
    <row r="39" spans="3:11" s="40" customFormat="1" ht="21" customHeight="1">
      <c r="C39" s="288"/>
      <c r="D39" s="39" t="s">
        <v>296</v>
      </c>
      <c r="E39" s="38" t="s">
        <v>136</v>
      </c>
      <c r="F39" s="39" t="s">
        <v>92</v>
      </c>
      <c r="G39" s="38"/>
      <c r="H39" s="55"/>
    </row>
    <row r="40" spans="3:11" s="40" customFormat="1" ht="21" customHeight="1">
      <c r="C40" s="288"/>
      <c r="D40" s="39" t="s">
        <v>297</v>
      </c>
      <c r="E40" s="38" t="s">
        <v>136</v>
      </c>
      <c r="F40" s="39" t="s">
        <v>139</v>
      </c>
      <c r="G40" s="38"/>
      <c r="H40" s="55"/>
    </row>
    <row r="41" spans="3:11" s="40" customFormat="1" ht="21" customHeight="1">
      <c r="C41" s="288"/>
      <c r="D41" s="39" t="s">
        <v>301</v>
      </c>
      <c r="E41" s="38" t="s">
        <v>136</v>
      </c>
      <c r="F41" s="39" t="s">
        <v>90</v>
      </c>
      <c r="G41" s="38"/>
      <c r="H41" s="55"/>
    </row>
    <row r="42" spans="3:11" s="40" customFormat="1" ht="21" customHeight="1">
      <c r="C42" s="288"/>
      <c r="D42" s="39" t="s">
        <v>382</v>
      </c>
      <c r="E42" s="38" t="s">
        <v>136</v>
      </c>
      <c r="F42" s="39" t="s">
        <v>91</v>
      </c>
      <c r="G42" s="38"/>
      <c r="H42" s="55"/>
    </row>
    <row r="43" spans="3:11" s="40" customFormat="1" ht="21" customHeight="1">
      <c r="C43" s="288"/>
      <c r="D43" s="39"/>
      <c r="E43" s="38"/>
      <c r="F43" s="39"/>
      <c r="G43" s="38"/>
      <c r="H43" s="55"/>
    </row>
    <row r="44" spans="3:11" s="40" customFormat="1" ht="21" customHeight="1">
      <c r="C44" s="288"/>
      <c r="D44" s="43"/>
      <c r="E44" s="38"/>
      <c r="F44" s="39"/>
      <c r="G44" s="38"/>
      <c r="H44" s="55"/>
    </row>
    <row r="45" spans="3:11" s="40" customFormat="1" ht="21" customHeight="1">
      <c r="C45" s="288"/>
      <c r="D45" s="39"/>
      <c r="E45" s="38"/>
      <c r="F45" s="39"/>
      <c r="G45" s="38"/>
      <c r="H45" s="55"/>
      <c r="J45" s="41"/>
      <c r="K45" s="41"/>
    </row>
    <row r="46" spans="3:11" s="40" customFormat="1" ht="21" customHeight="1">
      <c r="C46" s="288"/>
      <c r="D46" s="39"/>
      <c r="E46" s="38"/>
      <c r="F46" s="39"/>
      <c r="G46" s="38"/>
      <c r="H46" s="55"/>
      <c r="J46" s="41"/>
      <c r="K46" s="41"/>
    </row>
    <row r="47" spans="3:11" s="40" customFormat="1" ht="21" customHeight="1">
      <c r="C47" s="288"/>
      <c r="D47" s="39"/>
      <c r="E47" s="38"/>
      <c r="F47" s="39"/>
      <c r="G47" s="38"/>
      <c r="H47" s="55"/>
      <c r="J47" s="41"/>
      <c r="K47" s="41"/>
    </row>
    <row r="48" spans="3:11" s="40" customFormat="1" ht="21" customHeight="1">
      <c r="C48" s="288"/>
      <c r="D48" s="39"/>
      <c r="E48" s="38"/>
      <c r="F48" s="39"/>
      <c r="G48" s="38"/>
      <c r="H48" s="55"/>
      <c r="J48" s="41"/>
      <c r="K48" s="41"/>
    </row>
    <row r="49" spans="3:11" s="40" customFormat="1" ht="21" customHeight="1">
      <c r="C49" s="288"/>
      <c r="D49" s="42"/>
      <c r="E49" s="38"/>
      <c r="F49" s="39"/>
      <c r="G49" s="38"/>
      <c r="H49" s="55"/>
      <c r="J49" s="41"/>
      <c r="K49" s="41"/>
    </row>
    <row r="50" spans="3:11" s="40" customFormat="1" ht="21" customHeight="1">
      <c r="C50" s="288"/>
      <c r="D50" s="42"/>
      <c r="E50" s="38"/>
      <c r="F50" s="39"/>
      <c r="G50" s="38"/>
      <c r="H50" s="55"/>
      <c r="J50" s="41"/>
      <c r="K50" s="41"/>
    </row>
    <row r="51" spans="3:11" s="40" customFormat="1" ht="21" customHeight="1">
      <c r="C51" s="288"/>
      <c r="D51" s="42"/>
      <c r="E51" s="38"/>
      <c r="F51" s="39"/>
      <c r="G51" s="38"/>
      <c r="H51" s="55"/>
      <c r="J51" s="41"/>
      <c r="K51" s="41"/>
    </row>
    <row r="52" spans="3:11" s="40" customFormat="1" ht="21" customHeight="1" thickBot="1">
      <c r="C52" s="291"/>
      <c r="D52" s="71"/>
      <c r="E52" s="65"/>
      <c r="F52" s="64"/>
      <c r="G52" s="65"/>
      <c r="H52" s="66"/>
      <c r="J52" s="41"/>
      <c r="K52" s="41"/>
    </row>
    <row r="53" spans="3:11" s="40" customFormat="1" ht="21" customHeight="1">
      <c r="C53" s="287" t="s">
        <v>78</v>
      </c>
      <c r="D53" s="70" t="s">
        <v>302</v>
      </c>
      <c r="E53" s="62" t="s">
        <v>137</v>
      </c>
      <c r="F53" s="61" t="s">
        <v>280</v>
      </c>
      <c r="G53" s="62"/>
      <c r="H53" s="63"/>
      <c r="J53" s="41"/>
      <c r="K53" s="41"/>
    </row>
    <row r="54" spans="3:11" s="40" customFormat="1" ht="21" customHeight="1">
      <c r="C54" s="288"/>
      <c r="D54" s="42" t="s">
        <v>303</v>
      </c>
      <c r="E54" s="38" t="s">
        <v>137</v>
      </c>
      <c r="F54" s="39" t="s">
        <v>127</v>
      </c>
      <c r="G54" s="38"/>
      <c r="H54" s="55"/>
      <c r="J54" s="41"/>
      <c r="K54" s="41"/>
    </row>
    <row r="55" spans="3:11" s="40" customFormat="1" ht="21" customHeight="1">
      <c r="C55" s="288"/>
      <c r="D55" s="42" t="s">
        <v>304</v>
      </c>
      <c r="E55" s="38" t="s">
        <v>137</v>
      </c>
      <c r="F55" s="39" t="s">
        <v>145</v>
      </c>
      <c r="G55" s="38"/>
      <c r="H55" s="55"/>
      <c r="J55" s="41"/>
      <c r="K55" s="41"/>
    </row>
    <row r="56" spans="3:11" s="40" customFormat="1" ht="21" customHeight="1">
      <c r="C56" s="288"/>
      <c r="D56" s="42" t="s">
        <v>305</v>
      </c>
      <c r="E56" s="38" t="s">
        <v>137</v>
      </c>
      <c r="F56" s="39" t="s">
        <v>285</v>
      </c>
      <c r="G56" s="38"/>
      <c r="H56" s="55"/>
      <c r="J56" s="41"/>
      <c r="K56" s="41"/>
    </row>
    <row r="57" spans="3:11" s="40" customFormat="1" ht="21" customHeight="1">
      <c r="C57" s="288"/>
      <c r="D57" s="39" t="s">
        <v>292</v>
      </c>
      <c r="E57" s="38" t="s">
        <v>136</v>
      </c>
      <c r="F57" s="39" t="s">
        <v>291</v>
      </c>
      <c r="G57" s="38"/>
      <c r="H57" s="55"/>
      <c r="J57" s="41"/>
      <c r="K57" s="41"/>
    </row>
    <row r="58" spans="3:11" s="40" customFormat="1" ht="21" customHeight="1">
      <c r="C58" s="288"/>
      <c r="D58" s="39" t="s">
        <v>293</v>
      </c>
      <c r="E58" s="38" t="s">
        <v>136</v>
      </c>
      <c r="F58" s="39" t="s">
        <v>291</v>
      </c>
      <c r="G58" s="38"/>
      <c r="H58" s="55"/>
      <c r="J58" s="41"/>
      <c r="K58" s="41"/>
    </row>
    <row r="59" spans="3:11" s="40" customFormat="1" ht="21" customHeight="1">
      <c r="C59" s="288"/>
      <c r="D59" s="39" t="s">
        <v>294</v>
      </c>
      <c r="E59" s="38" t="s">
        <v>136</v>
      </c>
      <c r="F59" s="39" t="s">
        <v>291</v>
      </c>
      <c r="G59" s="38"/>
      <c r="H59" s="55"/>
      <c r="J59" s="41"/>
      <c r="K59" s="41"/>
    </row>
    <row r="60" spans="3:11" s="40" customFormat="1" ht="21" customHeight="1">
      <c r="C60" s="288"/>
      <c r="D60" s="42" t="s">
        <v>376</v>
      </c>
      <c r="E60" s="38" t="s">
        <v>136</v>
      </c>
      <c r="F60" s="39" t="s">
        <v>95</v>
      </c>
      <c r="G60" s="38"/>
      <c r="H60" s="55"/>
      <c r="J60" s="41"/>
      <c r="K60" s="41"/>
    </row>
    <row r="61" spans="3:11" s="40" customFormat="1" ht="21" customHeight="1">
      <c r="C61" s="288"/>
      <c r="D61" s="42" t="s">
        <v>378</v>
      </c>
      <c r="E61" s="38" t="s">
        <v>136</v>
      </c>
      <c r="F61" s="39" t="s">
        <v>139</v>
      </c>
      <c r="G61" s="38"/>
      <c r="H61" s="55"/>
      <c r="J61" s="41"/>
      <c r="K61" s="41"/>
    </row>
    <row r="62" spans="3:11" s="40" customFormat="1" ht="21" customHeight="1">
      <c r="C62" s="288"/>
      <c r="D62" s="42"/>
      <c r="E62" s="38"/>
      <c r="F62" s="39"/>
      <c r="G62" s="38"/>
      <c r="H62" s="55"/>
      <c r="J62" s="41"/>
      <c r="K62" s="41"/>
    </row>
    <row r="63" spans="3:11" s="40" customFormat="1" ht="21" customHeight="1">
      <c r="C63" s="288"/>
      <c r="D63" s="42"/>
      <c r="E63" s="38"/>
      <c r="F63" s="39"/>
      <c r="G63" s="38"/>
      <c r="H63" s="55"/>
      <c r="J63" s="41"/>
      <c r="K63" s="41"/>
    </row>
    <row r="64" spans="3:11" s="40" customFormat="1" ht="21" customHeight="1">
      <c r="C64" s="288"/>
      <c r="D64" s="42"/>
      <c r="E64" s="38"/>
      <c r="F64" s="39"/>
      <c r="G64" s="38"/>
      <c r="H64" s="55"/>
      <c r="J64" s="41"/>
      <c r="K64" s="41"/>
    </row>
    <row r="65" spans="3:13" s="40" customFormat="1" ht="21" customHeight="1">
      <c r="C65" s="288"/>
      <c r="D65" s="42"/>
      <c r="E65" s="38"/>
      <c r="F65" s="39"/>
      <c r="G65" s="38"/>
      <c r="H65" s="55"/>
      <c r="J65" s="41"/>
      <c r="K65" s="41"/>
    </row>
    <row r="66" spans="3:13" s="40" customFormat="1" ht="21" customHeight="1">
      <c r="C66" s="288"/>
      <c r="D66" s="42"/>
      <c r="E66" s="38"/>
      <c r="F66" s="39"/>
      <c r="G66" s="38"/>
      <c r="H66" s="55"/>
      <c r="J66" s="41"/>
      <c r="K66" s="41"/>
    </row>
    <row r="67" spans="3:13" s="40" customFormat="1" ht="21" customHeight="1">
      <c r="C67" s="288"/>
      <c r="D67" s="39"/>
      <c r="E67" s="38"/>
      <c r="F67" s="39"/>
      <c r="G67" s="38"/>
      <c r="H67" s="55"/>
      <c r="J67" s="41"/>
      <c r="K67" s="41"/>
      <c r="L67" s="41"/>
      <c r="M67" s="41"/>
    </row>
    <row r="68" spans="3:13" s="40" customFormat="1" ht="21" customHeight="1" thickBot="1">
      <c r="C68" s="289"/>
      <c r="D68" s="72"/>
      <c r="E68" s="73"/>
      <c r="F68" s="72"/>
      <c r="G68" s="68"/>
      <c r="H68" s="69"/>
      <c r="J68" s="41"/>
      <c r="K68" s="41"/>
      <c r="L68" s="41"/>
      <c r="M68" s="41"/>
    </row>
    <row r="69" spans="3:13" s="40" customFormat="1" ht="21" customHeight="1">
      <c r="C69" s="290" t="s">
        <v>79</v>
      </c>
      <c r="D69" s="53" t="s">
        <v>93</v>
      </c>
      <c r="E69" s="52" t="s">
        <v>137</v>
      </c>
      <c r="F69" s="53" t="s">
        <v>95</v>
      </c>
      <c r="G69" s="52"/>
      <c r="H69" s="54"/>
      <c r="J69" s="41"/>
      <c r="K69" s="41"/>
    </row>
    <row r="70" spans="3:13" s="40" customFormat="1" ht="21" customHeight="1">
      <c r="C70" s="288"/>
      <c r="D70" s="39" t="s">
        <v>306</v>
      </c>
      <c r="E70" s="38" t="s">
        <v>138</v>
      </c>
      <c r="F70" s="39" t="s">
        <v>95</v>
      </c>
      <c r="G70" s="38"/>
      <c r="H70" s="55"/>
    </row>
    <row r="71" spans="3:13" s="40" customFormat="1" ht="21" customHeight="1">
      <c r="C71" s="288"/>
      <c r="D71" s="42" t="s">
        <v>307</v>
      </c>
      <c r="E71" s="38" t="s">
        <v>137</v>
      </c>
      <c r="F71" s="39" t="s">
        <v>89</v>
      </c>
      <c r="G71" s="38"/>
      <c r="H71" s="55"/>
    </row>
    <row r="72" spans="3:13" s="40" customFormat="1" ht="21" customHeight="1">
      <c r="C72" s="288"/>
      <c r="D72" s="42"/>
      <c r="E72" s="38"/>
      <c r="F72" s="39"/>
      <c r="G72" s="38"/>
      <c r="H72" s="55"/>
    </row>
    <row r="73" spans="3:13" s="40" customFormat="1" ht="21" customHeight="1">
      <c r="C73" s="288"/>
      <c r="D73" s="42"/>
      <c r="E73" s="38"/>
      <c r="F73" s="39"/>
      <c r="G73" s="38"/>
      <c r="H73" s="55"/>
    </row>
    <row r="74" spans="3:13" s="40" customFormat="1" ht="21" customHeight="1">
      <c r="C74" s="288"/>
      <c r="D74" s="42"/>
      <c r="E74" s="38"/>
      <c r="F74" s="39"/>
      <c r="G74" s="38"/>
      <c r="H74" s="55"/>
    </row>
    <row r="75" spans="3:13" s="40" customFormat="1" ht="21" customHeight="1">
      <c r="C75" s="288"/>
      <c r="D75" s="42"/>
      <c r="E75" s="38"/>
      <c r="F75" s="39"/>
      <c r="G75" s="38"/>
      <c r="H75" s="55"/>
    </row>
    <row r="76" spans="3:13" s="40" customFormat="1" ht="21" customHeight="1">
      <c r="C76" s="288"/>
      <c r="D76" s="42"/>
      <c r="E76" s="38"/>
      <c r="F76" s="39"/>
      <c r="G76" s="38"/>
      <c r="H76" s="55"/>
    </row>
    <row r="77" spans="3:13" s="40" customFormat="1" ht="21" customHeight="1">
      <c r="C77" s="288"/>
      <c r="D77" s="42"/>
      <c r="E77" s="38"/>
      <c r="F77" s="39"/>
      <c r="G77" s="38"/>
      <c r="H77" s="55"/>
    </row>
    <row r="78" spans="3:13" s="40" customFormat="1" ht="21" customHeight="1">
      <c r="C78" s="288"/>
      <c r="D78" s="39"/>
      <c r="E78" s="38"/>
      <c r="F78" s="39"/>
      <c r="G78" s="38"/>
      <c r="H78" s="55"/>
    </row>
    <row r="79" spans="3:13" s="40" customFormat="1" ht="21" customHeight="1">
      <c r="C79" s="288"/>
      <c r="D79" s="39"/>
      <c r="E79" s="38"/>
      <c r="F79" s="39"/>
      <c r="G79" s="38"/>
      <c r="H79" s="55"/>
    </row>
    <row r="80" spans="3:13" s="40" customFormat="1" ht="21" customHeight="1">
      <c r="C80" s="288"/>
      <c r="D80" s="39"/>
      <c r="E80" s="38"/>
      <c r="F80" s="39"/>
      <c r="G80" s="38"/>
      <c r="H80" s="55"/>
    </row>
    <row r="81" spans="3:8" s="40" customFormat="1" ht="21" customHeight="1">
      <c r="C81" s="288"/>
      <c r="D81" s="39"/>
      <c r="E81" s="38"/>
      <c r="F81" s="39"/>
      <c r="G81" s="38"/>
      <c r="H81" s="55"/>
    </row>
    <row r="82" spans="3:8" s="40" customFormat="1" ht="21" customHeight="1">
      <c r="C82" s="288"/>
      <c r="D82" s="42"/>
      <c r="E82" s="38"/>
      <c r="F82" s="39"/>
      <c r="G82" s="38"/>
      <c r="H82" s="55"/>
    </row>
    <row r="83" spans="3:8" s="40" customFormat="1" ht="21" customHeight="1">
      <c r="C83" s="288"/>
      <c r="D83" s="39"/>
      <c r="E83" s="38"/>
      <c r="F83" s="39"/>
      <c r="G83" s="38"/>
      <c r="H83" s="55"/>
    </row>
    <row r="84" spans="3:8" s="40" customFormat="1" ht="21" customHeight="1" thickBot="1">
      <c r="C84" s="291"/>
      <c r="D84" s="64"/>
      <c r="E84" s="65"/>
      <c r="F84" s="64"/>
      <c r="G84" s="65"/>
      <c r="H84" s="66"/>
    </row>
    <row r="85" spans="3:8" s="40" customFormat="1" ht="21" customHeight="1">
      <c r="C85" s="287" t="s">
        <v>6</v>
      </c>
      <c r="D85" s="61" t="s">
        <v>299</v>
      </c>
      <c r="E85" s="62" t="s">
        <v>137</v>
      </c>
      <c r="F85" s="61" t="s">
        <v>283</v>
      </c>
      <c r="G85" s="62"/>
      <c r="H85" s="63"/>
    </row>
    <row r="86" spans="3:8" s="40" customFormat="1" ht="21" customHeight="1">
      <c r="C86" s="288"/>
      <c r="D86" s="39" t="s">
        <v>308</v>
      </c>
      <c r="E86" s="38" t="s">
        <v>138</v>
      </c>
      <c r="F86" s="39" t="s">
        <v>90</v>
      </c>
      <c r="G86" s="38"/>
      <c r="H86" s="55"/>
    </row>
    <row r="87" spans="3:8" s="40" customFormat="1" ht="21" customHeight="1">
      <c r="C87" s="288"/>
      <c r="D87" s="39" t="s">
        <v>309</v>
      </c>
      <c r="E87" s="38" t="s">
        <v>136</v>
      </c>
      <c r="F87" s="39" t="s">
        <v>139</v>
      </c>
      <c r="G87" s="38"/>
      <c r="H87" s="55"/>
    </row>
    <row r="88" spans="3:8" s="40" customFormat="1" ht="21" customHeight="1">
      <c r="C88" s="288"/>
      <c r="D88" s="39" t="s">
        <v>310</v>
      </c>
      <c r="E88" s="38" t="s">
        <v>136</v>
      </c>
      <c r="F88" s="39" t="s">
        <v>291</v>
      </c>
      <c r="G88" s="38"/>
      <c r="H88" s="55"/>
    </row>
    <row r="89" spans="3:8" s="40" customFormat="1" ht="21" customHeight="1">
      <c r="C89" s="288"/>
      <c r="D89" s="39" t="s">
        <v>311</v>
      </c>
      <c r="E89" s="38" t="s">
        <v>136</v>
      </c>
      <c r="F89" s="39" t="s">
        <v>92</v>
      </c>
      <c r="G89" s="38"/>
      <c r="H89" s="55"/>
    </row>
    <row r="90" spans="3:8" s="40" customFormat="1" ht="21" customHeight="1">
      <c r="C90" s="288"/>
      <c r="D90" s="45" t="s">
        <v>312</v>
      </c>
      <c r="E90" s="38" t="s">
        <v>136</v>
      </c>
      <c r="F90" s="39" t="s">
        <v>95</v>
      </c>
      <c r="G90" s="38"/>
      <c r="H90" s="55"/>
    </row>
    <row r="91" spans="3:8" s="40" customFormat="1" ht="21" customHeight="1">
      <c r="C91" s="288"/>
      <c r="D91" s="39" t="s">
        <v>298</v>
      </c>
      <c r="E91" s="38" t="s">
        <v>137</v>
      </c>
      <c r="F91" s="39" t="s">
        <v>337</v>
      </c>
      <c r="G91" s="38"/>
      <c r="H91" s="55"/>
    </row>
    <row r="92" spans="3:8" s="40" customFormat="1" ht="21" customHeight="1">
      <c r="C92" s="288"/>
      <c r="D92" s="39"/>
      <c r="E92" s="38"/>
      <c r="F92" s="39"/>
      <c r="G92" s="38"/>
      <c r="H92" s="55"/>
    </row>
    <row r="93" spans="3:8" s="40" customFormat="1" ht="21" customHeight="1">
      <c r="C93" s="288"/>
      <c r="D93" s="42"/>
      <c r="E93" s="44"/>
      <c r="F93" s="43"/>
      <c r="G93" s="38"/>
      <c r="H93" s="56"/>
    </row>
    <row r="94" spans="3:8" s="40" customFormat="1" ht="21" customHeight="1">
      <c r="C94" s="288"/>
      <c r="D94" s="42"/>
      <c r="E94" s="44"/>
      <c r="F94" s="43"/>
      <c r="G94" s="38"/>
      <c r="H94" s="56"/>
    </row>
    <row r="95" spans="3:8" s="40" customFormat="1" ht="21" customHeight="1">
      <c r="C95" s="288"/>
      <c r="D95" s="42"/>
      <c r="E95" s="44"/>
      <c r="F95" s="43"/>
      <c r="G95" s="38"/>
      <c r="H95" s="56"/>
    </row>
    <row r="96" spans="3:8" s="40" customFormat="1" ht="21" customHeight="1">
      <c r="C96" s="288"/>
      <c r="D96" s="42"/>
      <c r="E96" s="44"/>
      <c r="F96" s="43"/>
      <c r="G96" s="38"/>
      <c r="H96" s="56"/>
    </row>
    <row r="97" spans="3:8" s="40" customFormat="1" ht="21" customHeight="1">
      <c r="C97" s="288"/>
      <c r="D97" s="42"/>
      <c r="E97" s="44"/>
      <c r="F97" s="43"/>
      <c r="G97" s="38"/>
      <c r="H97" s="56"/>
    </row>
    <row r="98" spans="3:8" s="40" customFormat="1" ht="21" customHeight="1">
      <c r="C98" s="288"/>
      <c r="D98" s="42"/>
      <c r="E98" s="44"/>
      <c r="F98" s="43"/>
      <c r="G98" s="38"/>
      <c r="H98" s="56"/>
    </row>
    <row r="99" spans="3:8" s="40" customFormat="1" ht="21" customHeight="1">
      <c r="C99" s="288"/>
      <c r="D99" s="42"/>
      <c r="E99" s="44"/>
      <c r="F99" s="43"/>
      <c r="G99" s="38"/>
      <c r="H99" s="56"/>
    </row>
    <row r="100" spans="3:8" s="40" customFormat="1" ht="21" customHeight="1" thickBot="1">
      <c r="C100" s="289"/>
      <c r="D100" s="72"/>
      <c r="E100" s="68"/>
      <c r="F100" s="67"/>
      <c r="G100" s="68"/>
      <c r="H100" s="74"/>
    </row>
    <row r="101" spans="3:8" s="40" customFormat="1" ht="21" customHeight="1">
      <c r="C101" s="290" t="s">
        <v>7</v>
      </c>
      <c r="D101" s="51" t="s">
        <v>313</v>
      </c>
      <c r="E101" s="75" t="s">
        <v>136</v>
      </c>
      <c r="F101" s="51" t="s">
        <v>91</v>
      </c>
      <c r="G101" s="52"/>
      <c r="H101" s="76"/>
    </row>
    <row r="102" spans="3:8" s="40" customFormat="1" ht="21" customHeight="1">
      <c r="C102" s="288"/>
      <c r="D102" s="46" t="s">
        <v>314</v>
      </c>
      <c r="E102" s="47" t="s">
        <v>136</v>
      </c>
      <c r="F102" s="46" t="s">
        <v>90</v>
      </c>
      <c r="G102" s="38"/>
      <c r="H102" s="56"/>
    </row>
    <row r="103" spans="3:8" s="40" customFormat="1" ht="21" customHeight="1">
      <c r="C103" s="288"/>
      <c r="D103" s="39"/>
      <c r="E103" s="38"/>
      <c r="F103" s="39"/>
      <c r="G103" s="38"/>
      <c r="H103" s="55"/>
    </row>
    <row r="104" spans="3:8" s="40" customFormat="1" ht="21" customHeight="1">
      <c r="C104" s="288"/>
      <c r="D104" s="39"/>
      <c r="E104" s="38"/>
      <c r="F104" s="39"/>
      <c r="G104" s="38"/>
      <c r="H104" s="55"/>
    </row>
    <row r="105" spans="3:8" s="40" customFormat="1" ht="21" customHeight="1">
      <c r="C105" s="288"/>
      <c r="D105" s="39"/>
      <c r="E105" s="38"/>
      <c r="F105" s="39"/>
      <c r="G105" s="38"/>
      <c r="H105" s="55"/>
    </row>
    <row r="106" spans="3:8" s="40" customFormat="1" ht="21" customHeight="1">
      <c r="C106" s="288"/>
      <c r="D106" s="39"/>
      <c r="E106" s="38"/>
      <c r="F106" s="39"/>
      <c r="G106" s="38"/>
      <c r="H106" s="55"/>
    </row>
    <row r="107" spans="3:8" s="40" customFormat="1" ht="21" customHeight="1">
      <c r="C107" s="288"/>
      <c r="D107" s="39"/>
      <c r="E107" s="38"/>
      <c r="F107" s="39"/>
      <c r="G107" s="38"/>
      <c r="H107" s="55"/>
    </row>
    <row r="108" spans="3:8" s="40" customFormat="1" ht="21" customHeight="1">
      <c r="C108" s="288"/>
      <c r="D108" s="39"/>
      <c r="E108" s="38"/>
      <c r="F108" s="39"/>
      <c r="G108" s="38"/>
      <c r="H108" s="55"/>
    </row>
    <row r="109" spans="3:8" s="40" customFormat="1" ht="21" customHeight="1">
      <c r="C109" s="288"/>
      <c r="D109" s="39"/>
      <c r="E109" s="38"/>
      <c r="F109" s="39"/>
      <c r="G109" s="38"/>
      <c r="H109" s="55"/>
    </row>
    <row r="110" spans="3:8" s="40" customFormat="1" ht="21" customHeight="1">
      <c r="C110" s="288"/>
      <c r="D110" s="39"/>
      <c r="E110" s="38"/>
      <c r="F110" s="39"/>
      <c r="G110" s="38"/>
      <c r="H110" s="55"/>
    </row>
    <row r="111" spans="3:8" s="40" customFormat="1" ht="21" customHeight="1">
      <c r="C111" s="288"/>
      <c r="D111" s="39"/>
      <c r="E111" s="38"/>
      <c r="F111" s="39"/>
      <c r="G111" s="38"/>
      <c r="H111" s="55"/>
    </row>
    <row r="112" spans="3:8" s="40" customFormat="1" ht="21" customHeight="1">
      <c r="C112" s="288"/>
      <c r="D112" s="43"/>
      <c r="E112" s="44"/>
      <c r="F112" s="39"/>
      <c r="G112" s="38"/>
      <c r="H112" s="55"/>
    </row>
    <row r="113" spans="3:8" s="40" customFormat="1" ht="21" customHeight="1">
      <c r="C113" s="288"/>
      <c r="D113" s="39"/>
      <c r="E113" s="38"/>
      <c r="F113" s="39"/>
      <c r="G113" s="48"/>
      <c r="H113" s="55"/>
    </row>
    <row r="114" spans="3:8" s="40" customFormat="1" ht="21" customHeight="1">
      <c r="C114" s="288"/>
      <c r="D114" s="39"/>
      <c r="E114" s="38"/>
      <c r="F114" s="39"/>
      <c r="G114" s="38"/>
      <c r="H114" s="55"/>
    </row>
    <row r="115" spans="3:8" s="40" customFormat="1" ht="21" customHeight="1">
      <c r="C115" s="288"/>
      <c r="D115" s="39"/>
      <c r="E115" s="38"/>
      <c r="F115" s="39"/>
      <c r="G115" s="38"/>
      <c r="H115" s="55"/>
    </row>
    <row r="116" spans="3:8" s="40" customFormat="1" ht="21" customHeight="1" thickBot="1">
      <c r="C116" s="291"/>
      <c r="D116" s="64"/>
      <c r="E116" s="65"/>
      <c r="F116" s="64"/>
      <c r="G116" s="65"/>
      <c r="H116" s="66"/>
    </row>
    <row r="117" spans="3:8" s="40" customFormat="1" ht="21" customHeight="1">
      <c r="C117" s="287" t="s">
        <v>8</v>
      </c>
      <c r="D117" s="61" t="s">
        <v>96</v>
      </c>
      <c r="E117" s="62" t="s">
        <v>137</v>
      </c>
      <c r="F117" s="61" t="s">
        <v>94</v>
      </c>
      <c r="G117" s="62"/>
      <c r="H117" s="63"/>
    </row>
    <row r="118" spans="3:8" s="40" customFormat="1" ht="21" customHeight="1">
      <c r="C118" s="288"/>
      <c r="D118" s="39" t="s">
        <v>315</v>
      </c>
      <c r="E118" s="38" t="s">
        <v>138</v>
      </c>
      <c r="F118" s="39" t="s">
        <v>92</v>
      </c>
      <c r="G118" s="38"/>
      <c r="H118" s="55"/>
    </row>
    <row r="119" spans="3:8" s="40" customFormat="1" ht="21" customHeight="1">
      <c r="C119" s="288"/>
      <c r="D119" s="39" t="s">
        <v>316</v>
      </c>
      <c r="E119" s="38" t="s">
        <v>138</v>
      </c>
      <c r="F119" s="39" t="s">
        <v>139</v>
      </c>
      <c r="G119" s="38"/>
      <c r="H119" s="55"/>
    </row>
    <row r="120" spans="3:8" s="40" customFormat="1" ht="21" customHeight="1">
      <c r="C120" s="288"/>
      <c r="D120" s="39" t="s">
        <v>317</v>
      </c>
      <c r="E120" s="38" t="s">
        <v>136</v>
      </c>
      <c r="F120" s="39" t="s">
        <v>92</v>
      </c>
      <c r="G120" s="38"/>
      <c r="H120" s="55"/>
    </row>
    <row r="121" spans="3:8" s="40" customFormat="1" ht="21" customHeight="1">
      <c r="C121" s="288"/>
      <c r="D121" s="39" t="s">
        <v>318</v>
      </c>
      <c r="E121" s="38" t="s">
        <v>138</v>
      </c>
      <c r="F121" s="39" t="s">
        <v>335</v>
      </c>
      <c r="G121" s="38"/>
      <c r="H121" s="55"/>
    </row>
    <row r="122" spans="3:8" s="40" customFormat="1" ht="21" customHeight="1">
      <c r="C122" s="288"/>
      <c r="D122" s="39" t="s">
        <v>319</v>
      </c>
      <c r="E122" s="38" t="s">
        <v>138</v>
      </c>
      <c r="F122" s="39" t="s">
        <v>332</v>
      </c>
      <c r="G122" s="38"/>
      <c r="H122" s="55"/>
    </row>
    <row r="123" spans="3:8" s="40" customFormat="1" ht="21" customHeight="1">
      <c r="C123" s="288"/>
      <c r="D123" s="43"/>
      <c r="E123" s="38"/>
      <c r="F123" s="39"/>
      <c r="G123" s="38"/>
      <c r="H123" s="55"/>
    </row>
    <row r="124" spans="3:8" s="40" customFormat="1" ht="21" customHeight="1">
      <c r="C124" s="288"/>
      <c r="D124" s="43"/>
      <c r="E124" s="38"/>
      <c r="F124" s="39"/>
      <c r="G124" s="38"/>
      <c r="H124" s="55"/>
    </row>
    <row r="125" spans="3:8" s="40" customFormat="1" ht="21" customHeight="1">
      <c r="C125" s="288"/>
      <c r="D125" s="39"/>
      <c r="E125" s="38"/>
      <c r="F125" s="39"/>
      <c r="G125" s="38"/>
      <c r="H125" s="55"/>
    </row>
    <row r="126" spans="3:8" s="40" customFormat="1" ht="21" customHeight="1">
      <c r="C126" s="288"/>
      <c r="D126" s="39"/>
      <c r="E126" s="38"/>
      <c r="F126" s="39"/>
      <c r="G126" s="44"/>
      <c r="H126" s="56"/>
    </row>
    <row r="127" spans="3:8" s="40" customFormat="1" ht="21" customHeight="1">
      <c r="C127" s="288"/>
      <c r="D127" s="39"/>
      <c r="E127" s="38"/>
      <c r="F127" s="39"/>
      <c r="G127" s="44"/>
      <c r="H127" s="56"/>
    </row>
    <row r="128" spans="3:8" s="40" customFormat="1" ht="21" customHeight="1">
      <c r="C128" s="288"/>
      <c r="D128" s="39"/>
      <c r="E128" s="38"/>
      <c r="F128" s="39"/>
      <c r="G128" s="44"/>
      <c r="H128" s="56"/>
    </row>
    <row r="129" spans="3:16" s="40" customFormat="1" ht="21" customHeight="1">
      <c r="C129" s="288"/>
      <c r="D129" s="39"/>
      <c r="E129" s="38"/>
      <c r="F129" s="39"/>
      <c r="G129" s="44"/>
      <c r="H129" s="56"/>
    </row>
    <row r="130" spans="3:16" s="40" customFormat="1" ht="21" customHeight="1">
      <c r="C130" s="288"/>
      <c r="D130" s="39"/>
      <c r="E130" s="38"/>
      <c r="F130" s="39"/>
      <c r="G130" s="44"/>
      <c r="H130" s="56"/>
    </row>
    <row r="131" spans="3:16" s="40" customFormat="1" ht="21" customHeight="1">
      <c r="C131" s="288"/>
      <c r="D131" s="39"/>
      <c r="E131" s="38"/>
      <c r="F131" s="39"/>
      <c r="G131" s="44"/>
      <c r="H131" s="56"/>
    </row>
    <row r="132" spans="3:16" s="40" customFormat="1" ht="21" customHeight="1" thickBot="1">
      <c r="C132" s="289"/>
      <c r="D132" s="67"/>
      <c r="E132" s="68"/>
      <c r="F132" s="67"/>
      <c r="G132" s="73"/>
      <c r="H132" s="74"/>
    </row>
    <row r="133" spans="3:16" s="40" customFormat="1" ht="21" customHeight="1">
      <c r="C133" s="290" t="s">
        <v>9</v>
      </c>
      <c r="D133" s="51" t="s">
        <v>99</v>
      </c>
      <c r="E133" s="75" t="s">
        <v>137</v>
      </c>
      <c r="F133" s="51" t="s">
        <v>328</v>
      </c>
      <c r="G133" s="75"/>
      <c r="H133" s="76"/>
    </row>
    <row r="134" spans="3:16" s="40" customFormat="1" ht="21" customHeight="1">
      <c r="C134" s="288"/>
      <c r="D134" s="39" t="s">
        <v>320</v>
      </c>
      <c r="E134" s="38" t="s">
        <v>138</v>
      </c>
      <c r="F134" s="39" t="s">
        <v>94</v>
      </c>
      <c r="G134" s="49"/>
      <c r="H134" s="56"/>
    </row>
    <row r="135" spans="3:16" s="40" customFormat="1" ht="21" customHeight="1">
      <c r="C135" s="288"/>
      <c r="D135" s="39" t="s">
        <v>321</v>
      </c>
      <c r="E135" s="38" t="s">
        <v>136</v>
      </c>
      <c r="F135" s="39" t="s">
        <v>90</v>
      </c>
      <c r="G135" s="49"/>
      <c r="H135" s="56"/>
    </row>
    <row r="136" spans="3:16">
      <c r="C136" s="288"/>
      <c r="D136" s="16" t="s">
        <v>322</v>
      </c>
      <c r="E136" s="15" t="s">
        <v>84</v>
      </c>
      <c r="F136" s="16" t="s">
        <v>95</v>
      </c>
      <c r="G136" s="17"/>
      <c r="H136" s="57"/>
    </row>
    <row r="137" spans="3:16">
      <c r="C137" s="288"/>
      <c r="D137" s="16" t="s">
        <v>323</v>
      </c>
      <c r="E137" s="15" t="s">
        <v>22</v>
      </c>
      <c r="F137" s="16" t="s">
        <v>140</v>
      </c>
      <c r="G137" s="17"/>
      <c r="H137" s="57"/>
    </row>
    <row r="138" spans="3:16">
      <c r="C138" s="288"/>
      <c r="D138" s="16" t="s">
        <v>324</v>
      </c>
      <c r="E138" s="15" t="s">
        <v>84</v>
      </c>
      <c r="F138" s="16" t="s">
        <v>95</v>
      </c>
      <c r="G138" s="17"/>
      <c r="H138" s="57"/>
    </row>
    <row r="139" spans="3:16">
      <c r="C139" s="288"/>
      <c r="D139" s="16"/>
      <c r="E139" s="15" t="s">
        <v>84</v>
      </c>
      <c r="F139" s="16"/>
      <c r="G139" s="17"/>
      <c r="H139" s="57"/>
      <c r="P139" s="96"/>
    </row>
    <row r="140" spans="3:16">
      <c r="C140" s="288"/>
      <c r="D140" s="16"/>
      <c r="E140" s="15" t="s">
        <v>146</v>
      </c>
      <c r="F140" s="16"/>
      <c r="G140" s="17"/>
      <c r="H140" s="57"/>
      <c r="J140" s="18" t="s">
        <v>40</v>
      </c>
      <c r="K140" s="18" t="s">
        <v>41</v>
      </c>
      <c r="L140" s="18" t="s">
        <v>16</v>
      </c>
      <c r="M140" s="18" t="s">
        <v>22</v>
      </c>
      <c r="N140" s="18" t="s">
        <v>84</v>
      </c>
    </row>
    <row r="141" spans="3:16">
      <c r="C141" s="288"/>
      <c r="D141" s="16"/>
      <c r="E141" s="15" t="s">
        <v>147</v>
      </c>
      <c r="F141" s="16"/>
      <c r="G141" s="17"/>
      <c r="H141" s="57"/>
      <c r="J141" s="19" t="s">
        <v>28</v>
      </c>
      <c r="K141" s="15">
        <f t="shared" ref="K141:K147" si="0">COUNTIF(F:F,"*"&amp;J141&amp;"*")</f>
        <v>2</v>
      </c>
      <c r="L141" s="15">
        <f t="shared" ref="L141:L147" si="1">COUNTIFS(F:F,"*"&amp;J141&amp;"*",E:E,"국내")</f>
        <v>1</v>
      </c>
      <c r="M141" s="15">
        <f t="shared" ref="M141:M147" si="2">COUNTIFS(F:F,"*"&amp;J141&amp;"*",E:E,"해외")</f>
        <v>1</v>
      </c>
      <c r="N141" s="15">
        <f t="shared" ref="N141:N147" si="3">COUNTIFS(F:F,"*"&amp;J141&amp;"*",E:E,"서류")</f>
        <v>0</v>
      </c>
    </row>
    <row r="142" spans="3:16">
      <c r="C142" s="288"/>
      <c r="D142" s="16"/>
      <c r="E142" s="15" t="s">
        <v>148</v>
      </c>
      <c r="F142" s="16"/>
      <c r="G142" s="17"/>
      <c r="H142" s="57"/>
      <c r="J142" s="19" t="s">
        <v>34</v>
      </c>
      <c r="K142" s="15">
        <f t="shared" si="0"/>
        <v>8</v>
      </c>
      <c r="L142" s="15">
        <f t="shared" si="1"/>
        <v>1</v>
      </c>
      <c r="M142" s="15">
        <f t="shared" si="2"/>
        <v>3</v>
      </c>
      <c r="N142" s="15">
        <f t="shared" si="3"/>
        <v>4</v>
      </c>
    </row>
    <row r="143" spans="3:16">
      <c r="C143" s="288"/>
      <c r="D143" s="16"/>
      <c r="E143" s="15" t="s">
        <v>84</v>
      </c>
      <c r="F143" s="16"/>
      <c r="G143" s="17"/>
      <c r="H143" s="57"/>
      <c r="J143" s="19" t="s">
        <v>24</v>
      </c>
      <c r="K143" s="15">
        <f t="shared" si="0"/>
        <v>5</v>
      </c>
      <c r="L143" s="15">
        <f t="shared" si="1"/>
        <v>1</v>
      </c>
      <c r="M143" s="15">
        <f t="shared" si="2"/>
        <v>1</v>
      </c>
      <c r="N143" s="15">
        <f t="shared" si="3"/>
        <v>3</v>
      </c>
    </row>
    <row r="144" spans="3:16">
      <c r="C144" s="288"/>
      <c r="D144" s="16"/>
      <c r="E144" s="15" t="s">
        <v>148</v>
      </c>
      <c r="F144" s="16"/>
      <c r="G144" s="17"/>
      <c r="H144" s="57"/>
      <c r="J144" s="19" t="s">
        <v>20</v>
      </c>
      <c r="K144" s="15">
        <f t="shared" si="0"/>
        <v>9</v>
      </c>
      <c r="L144" s="15">
        <f t="shared" si="1"/>
        <v>3</v>
      </c>
      <c r="M144" s="15">
        <f t="shared" si="2"/>
        <v>3</v>
      </c>
      <c r="N144" s="15">
        <f t="shared" si="3"/>
        <v>3</v>
      </c>
    </row>
    <row r="145" spans="3:18">
      <c r="C145" s="288"/>
      <c r="D145" s="16"/>
      <c r="E145" s="15" t="s">
        <v>84</v>
      </c>
      <c r="F145" s="16"/>
      <c r="G145" s="17"/>
      <c r="H145" s="57"/>
      <c r="J145" s="15" t="s">
        <v>31</v>
      </c>
      <c r="K145" s="15">
        <f t="shared" si="0"/>
        <v>10</v>
      </c>
      <c r="L145" s="15">
        <f t="shared" si="1"/>
        <v>3</v>
      </c>
      <c r="M145" s="15">
        <f t="shared" si="2"/>
        <v>3</v>
      </c>
      <c r="N145" s="15">
        <f t="shared" si="3"/>
        <v>4</v>
      </c>
    </row>
    <row r="146" spans="3:18">
      <c r="C146" s="288"/>
      <c r="D146" s="16"/>
      <c r="E146" s="15" t="s">
        <v>143</v>
      </c>
      <c r="F146" s="16"/>
      <c r="G146" s="17"/>
      <c r="H146" s="57"/>
      <c r="J146" s="19" t="s">
        <v>35</v>
      </c>
      <c r="K146" s="15">
        <f t="shared" si="0"/>
        <v>6</v>
      </c>
      <c r="L146" s="15">
        <f t="shared" si="1"/>
        <v>2</v>
      </c>
      <c r="M146" s="15">
        <f t="shared" si="2"/>
        <v>0</v>
      </c>
      <c r="N146" s="15">
        <f t="shared" si="3"/>
        <v>4</v>
      </c>
    </row>
    <row r="147" spans="3:18">
      <c r="C147" s="288"/>
      <c r="D147" s="16"/>
      <c r="E147" s="15" t="s">
        <v>141</v>
      </c>
      <c r="F147" s="16"/>
      <c r="G147" s="17"/>
      <c r="H147" s="57"/>
      <c r="J147" s="19" t="s">
        <v>27</v>
      </c>
      <c r="K147" s="15">
        <f t="shared" si="0"/>
        <v>6</v>
      </c>
      <c r="L147" s="15">
        <f t="shared" si="1"/>
        <v>3</v>
      </c>
      <c r="M147" s="15">
        <f t="shared" si="2"/>
        <v>3</v>
      </c>
      <c r="N147" s="15">
        <f t="shared" si="3"/>
        <v>0</v>
      </c>
    </row>
    <row r="148" spans="3:18" ht="17.25" thickBot="1">
      <c r="C148" s="291"/>
      <c r="D148" s="58"/>
      <c r="E148" s="87"/>
      <c r="F148" s="58"/>
      <c r="G148" s="59"/>
      <c r="H148" s="60"/>
      <c r="J148" s="15" t="s">
        <v>128</v>
      </c>
      <c r="K148" s="15">
        <f t="shared" ref="K148:K153" si="4">COUNTIF(F:F,"*"&amp;J148&amp;"*")</f>
        <v>3</v>
      </c>
      <c r="L148" s="15">
        <f t="shared" ref="L148:L153" si="5">COUNTIFS(F:F,"*"&amp;J148&amp;"*",E:E,"국내")</f>
        <v>2</v>
      </c>
      <c r="M148" s="15">
        <f t="shared" ref="M148:M153" si="6">COUNTIFS(F:F,"*"&amp;J148&amp;"*",E:E,"해외")</f>
        <v>1</v>
      </c>
      <c r="N148" s="15">
        <f t="shared" ref="N148:N153" si="7">COUNTIFS(F:F,"*"&amp;J148&amp;"*",E:E,"서류")</f>
        <v>0</v>
      </c>
    </row>
    <row r="149" spans="3:18">
      <c r="C149" s="287" t="s">
        <v>10</v>
      </c>
      <c r="D149" s="77" t="s">
        <v>97</v>
      </c>
      <c r="E149" s="88" t="s">
        <v>385</v>
      </c>
      <c r="F149" s="77" t="s">
        <v>94</v>
      </c>
      <c r="G149" s="78"/>
      <c r="H149" s="79"/>
      <c r="J149" s="15" t="s">
        <v>126</v>
      </c>
      <c r="K149" s="15">
        <f t="shared" si="4"/>
        <v>7</v>
      </c>
      <c r="L149" s="15">
        <f t="shared" si="5"/>
        <v>3</v>
      </c>
      <c r="M149" s="15">
        <f t="shared" si="6"/>
        <v>1</v>
      </c>
      <c r="N149" s="15">
        <f t="shared" si="7"/>
        <v>3</v>
      </c>
    </row>
    <row r="150" spans="3:18">
      <c r="C150" s="288"/>
      <c r="D150" s="16" t="s">
        <v>325</v>
      </c>
      <c r="E150" s="15" t="s">
        <v>386</v>
      </c>
      <c r="F150" s="16" t="s">
        <v>91</v>
      </c>
      <c r="G150" s="17"/>
      <c r="H150" s="57"/>
      <c r="J150" s="15" t="s">
        <v>129</v>
      </c>
      <c r="K150" s="15">
        <f t="shared" si="4"/>
        <v>0</v>
      </c>
      <c r="L150" s="15">
        <f t="shared" si="5"/>
        <v>0</v>
      </c>
      <c r="M150" s="15">
        <f t="shared" si="6"/>
        <v>0</v>
      </c>
      <c r="N150" s="15">
        <f t="shared" si="7"/>
        <v>0</v>
      </c>
    </row>
    <row r="151" spans="3:18">
      <c r="C151" s="288"/>
      <c r="D151" s="16" t="s">
        <v>326</v>
      </c>
      <c r="E151" s="15" t="s">
        <v>84</v>
      </c>
      <c r="F151" s="16" t="s">
        <v>91</v>
      </c>
      <c r="G151" s="17"/>
      <c r="H151" s="57"/>
      <c r="J151" s="15" t="s">
        <v>130</v>
      </c>
      <c r="K151" s="15">
        <f t="shared" si="4"/>
        <v>0</v>
      </c>
      <c r="L151" s="15">
        <f t="shared" si="5"/>
        <v>0</v>
      </c>
      <c r="M151" s="15">
        <f t="shared" si="6"/>
        <v>0</v>
      </c>
      <c r="N151" s="15">
        <f t="shared" si="7"/>
        <v>0</v>
      </c>
    </row>
    <row r="152" spans="3:18">
      <c r="C152" s="288"/>
      <c r="D152" s="16" t="s">
        <v>327</v>
      </c>
      <c r="E152" s="15" t="s">
        <v>387</v>
      </c>
      <c r="F152" s="16" t="s">
        <v>91</v>
      </c>
      <c r="G152" s="17"/>
      <c r="H152" s="57"/>
      <c r="J152" s="15" t="s">
        <v>388</v>
      </c>
      <c r="K152" s="15">
        <f t="shared" si="4"/>
        <v>0</v>
      </c>
      <c r="L152" s="15">
        <f t="shared" si="5"/>
        <v>0</v>
      </c>
      <c r="M152" s="15">
        <f t="shared" si="6"/>
        <v>0</v>
      </c>
      <c r="N152" s="15">
        <f t="shared" si="7"/>
        <v>0</v>
      </c>
    </row>
    <row r="153" spans="3:18">
      <c r="C153" s="288"/>
      <c r="D153" s="16" t="s">
        <v>384</v>
      </c>
      <c r="E153" s="15" t="s">
        <v>22</v>
      </c>
      <c r="F153" s="16" t="s">
        <v>383</v>
      </c>
      <c r="G153" s="17"/>
      <c r="H153" s="57"/>
      <c r="J153" s="15" t="s">
        <v>389</v>
      </c>
      <c r="K153" s="15">
        <f t="shared" si="4"/>
        <v>0</v>
      </c>
      <c r="L153" s="15">
        <f t="shared" si="5"/>
        <v>0</v>
      </c>
      <c r="M153" s="15">
        <f t="shared" si="6"/>
        <v>0</v>
      </c>
      <c r="N153" s="15">
        <f t="shared" si="7"/>
        <v>0</v>
      </c>
      <c r="P153" s="21" t="s">
        <v>86</v>
      </c>
      <c r="Q153" s="21" t="s">
        <v>85</v>
      </c>
    </row>
    <row r="154" spans="3:18" ht="13.9" customHeight="1">
      <c r="C154" s="288"/>
      <c r="D154" s="16"/>
      <c r="E154" s="15" t="s">
        <v>141</v>
      </c>
      <c r="F154" s="16"/>
      <c r="G154" s="17"/>
      <c r="H154" s="57"/>
      <c r="J154" s="15"/>
      <c r="K154" s="15"/>
      <c r="L154" s="15"/>
      <c r="M154" s="15"/>
      <c r="N154" s="15"/>
      <c r="O154" s="148"/>
      <c r="P154" s="114" t="s">
        <v>255</v>
      </c>
      <c r="Q154" s="95" t="s">
        <v>152</v>
      </c>
      <c r="R154" s="148"/>
    </row>
    <row r="155" spans="3:18" ht="13.9" customHeight="1">
      <c r="C155" s="288"/>
      <c r="D155" s="16"/>
      <c r="E155" s="15" t="s">
        <v>84</v>
      </c>
      <c r="F155" s="16"/>
      <c r="G155" s="17"/>
      <c r="H155" s="57"/>
      <c r="J155" s="15"/>
      <c r="K155" s="15"/>
      <c r="L155" s="15"/>
      <c r="M155" s="15"/>
      <c r="N155" s="15"/>
      <c r="O155" s="148"/>
      <c r="P155" s="109" t="s">
        <v>256</v>
      </c>
      <c r="Q155" s="94" t="s">
        <v>153</v>
      </c>
      <c r="R155" s="148"/>
    </row>
    <row r="156" spans="3:18" ht="13.9" customHeight="1">
      <c r="C156" s="288"/>
      <c r="D156" s="16"/>
      <c r="E156" s="15"/>
      <c r="F156" s="16"/>
      <c r="G156" s="17"/>
      <c r="H156" s="57"/>
      <c r="J156" s="15"/>
      <c r="K156" s="15"/>
      <c r="L156" s="15"/>
      <c r="M156" s="15"/>
      <c r="N156" s="15"/>
      <c r="O156" s="148"/>
      <c r="P156" s="109" t="s">
        <v>257</v>
      </c>
      <c r="Q156" s="94" t="s">
        <v>154</v>
      </c>
      <c r="R156" s="148"/>
    </row>
    <row r="157" spans="3:18" ht="13.9" customHeight="1">
      <c r="C157" s="288"/>
      <c r="D157" s="16"/>
      <c r="E157" s="15"/>
      <c r="F157" s="16"/>
      <c r="G157" s="17"/>
      <c r="H157" s="57"/>
      <c r="J157" s="15"/>
      <c r="K157" s="15"/>
      <c r="L157" s="15"/>
      <c r="M157" s="15"/>
      <c r="N157" s="15"/>
      <c r="O157" s="148"/>
      <c r="P157" s="109" t="s">
        <v>258</v>
      </c>
      <c r="Q157" s="94" t="s">
        <v>155</v>
      </c>
      <c r="R157" s="148"/>
    </row>
    <row r="158" spans="3:18" ht="13.9" customHeight="1">
      <c r="C158" s="288"/>
      <c r="D158" s="16"/>
      <c r="E158" s="15" t="s">
        <v>84</v>
      </c>
      <c r="F158" s="16"/>
      <c r="G158" s="17"/>
      <c r="H158" s="57"/>
      <c r="O158" s="148"/>
      <c r="P158" s="109" t="s">
        <v>259</v>
      </c>
      <c r="Q158" s="94" t="s">
        <v>156</v>
      </c>
      <c r="R158" s="148"/>
    </row>
    <row r="159" spans="3:18" ht="13.9" customHeight="1">
      <c r="C159" s="288"/>
      <c r="D159" s="16"/>
      <c r="E159" s="15"/>
      <c r="F159" s="16"/>
      <c r="G159" s="17"/>
      <c r="H159" s="57"/>
      <c r="O159" s="148"/>
      <c r="P159" s="109" t="s">
        <v>260</v>
      </c>
      <c r="Q159" s="94" t="s">
        <v>157</v>
      </c>
      <c r="R159" s="148"/>
    </row>
    <row r="160" spans="3:18" ht="13.9" customHeight="1">
      <c r="C160" s="288"/>
      <c r="D160" s="16"/>
      <c r="E160" s="15"/>
      <c r="F160" s="16"/>
      <c r="G160" s="17"/>
      <c r="H160" s="57"/>
      <c r="O160" s="148"/>
      <c r="P160" s="109" t="s">
        <v>261</v>
      </c>
      <c r="Q160" s="92" t="s">
        <v>248</v>
      </c>
      <c r="R160" s="148"/>
    </row>
    <row r="161" spans="3:18" ht="13.9" customHeight="1">
      <c r="C161" s="288"/>
      <c r="D161" s="16"/>
      <c r="E161" s="15"/>
      <c r="F161" s="16"/>
      <c r="G161" s="17"/>
      <c r="H161" s="57"/>
      <c r="O161" s="148"/>
      <c r="P161" s="109" t="s">
        <v>117</v>
      </c>
      <c r="Q161" s="92" t="s">
        <v>158</v>
      </c>
      <c r="R161" s="148"/>
    </row>
    <row r="162" spans="3:18" ht="13.9" customHeight="1">
      <c r="C162" s="288"/>
      <c r="D162" s="16"/>
      <c r="E162" s="15"/>
      <c r="F162" s="16"/>
      <c r="G162" s="17"/>
      <c r="H162" s="57"/>
      <c r="O162" s="148"/>
      <c r="P162" s="109" t="s">
        <v>118</v>
      </c>
      <c r="Q162" s="92" t="s">
        <v>159</v>
      </c>
      <c r="R162" s="148"/>
    </row>
    <row r="163" spans="3:18" ht="13.9" customHeight="1">
      <c r="C163" s="288"/>
      <c r="D163" s="16"/>
      <c r="E163" s="15"/>
      <c r="F163" s="16"/>
      <c r="G163" s="17"/>
      <c r="H163" s="57"/>
      <c r="O163" s="148"/>
      <c r="P163" s="109" t="s">
        <v>119</v>
      </c>
      <c r="Q163" s="92" t="s">
        <v>160</v>
      </c>
      <c r="R163" s="148"/>
    </row>
    <row r="164" spans="3:18" ht="13.9" customHeight="1" thickBot="1">
      <c r="C164" s="289"/>
      <c r="D164" s="80"/>
      <c r="E164" s="89"/>
      <c r="F164" s="80"/>
      <c r="G164" s="81"/>
      <c r="H164" s="82"/>
      <c r="O164" s="148"/>
      <c r="P164" s="109" t="s">
        <v>32</v>
      </c>
      <c r="Q164" s="93" t="s">
        <v>249</v>
      </c>
      <c r="R164" s="148"/>
    </row>
    <row r="165" spans="3:18" ht="13.9" customHeight="1">
      <c r="C165" s="290" t="s">
        <v>11</v>
      </c>
      <c r="D165" s="83" t="s">
        <v>98</v>
      </c>
      <c r="E165" s="90" t="s">
        <v>16</v>
      </c>
      <c r="F165" s="83" t="s">
        <v>95</v>
      </c>
      <c r="G165" s="84"/>
      <c r="H165" s="85"/>
      <c r="O165" s="148"/>
      <c r="P165" s="109" t="s">
        <v>121</v>
      </c>
      <c r="Q165" s="92" t="s">
        <v>252</v>
      </c>
      <c r="R165" s="148"/>
    </row>
    <row r="166" spans="3:18" ht="13.9" customHeight="1">
      <c r="C166" s="288"/>
      <c r="D166" s="16"/>
      <c r="E166" s="15" t="s">
        <v>144</v>
      </c>
      <c r="F166" s="16"/>
      <c r="G166" s="17"/>
      <c r="H166" s="57"/>
      <c r="O166" s="148"/>
      <c r="P166" s="26" t="s">
        <v>175</v>
      </c>
      <c r="Q166" s="93" t="s">
        <v>203</v>
      </c>
      <c r="R166" s="148"/>
    </row>
    <row r="167" spans="3:18" ht="13.9" customHeight="1">
      <c r="C167" s="288"/>
      <c r="D167" s="16"/>
      <c r="E167" s="15" t="s">
        <v>16</v>
      </c>
      <c r="F167" s="16"/>
      <c r="G167" s="17"/>
      <c r="H167" s="57"/>
      <c r="O167" s="148"/>
      <c r="P167" s="108" t="s">
        <v>174</v>
      </c>
      <c r="Q167" s="93" t="s">
        <v>204</v>
      </c>
      <c r="R167" s="148"/>
    </row>
    <row r="168" spans="3:18" ht="13.9" customHeight="1" thickBot="1">
      <c r="C168" s="288"/>
      <c r="D168" s="16"/>
      <c r="E168" s="15" t="s">
        <v>84</v>
      </c>
      <c r="F168" s="16"/>
      <c r="G168" s="17"/>
      <c r="H168" s="57"/>
      <c r="O168" s="148"/>
      <c r="P168" s="113" t="s">
        <v>176</v>
      </c>
      <c r="Q168" s="93" t="s">
        <v>205</v>
      </c>
      <c r="R168" s="148"/>
    </row>
    <row r="169" spans="3:18" ht="13.9" customHeight="1">
      <c r="C169" s="288"/>
      <c r="D169" s="16"/>
      <c r="E169" s="15" t="s">
        <v>84</v>
      </c>
      <c r="F169" s="16"/>
      <c r="G169" s="17"/>
      <c r="H169" s="57"/>
      <c r="O169" s="148"/>
      <c r="P169" s="149"/>
      <c r="Q169" s="93" t="s">
        <v>377</v>
      </c>
      <c r="R169" s="148"/>
    </row>
    <row r="170" spans="3:18" ht="13.9" customHeight="1">
      <c r="C170" s="288"/>
      <c r="D170" s="16"/>
      <c r="E170" s="15" t="s">
        <v>149</v>
      </c>
      <c r="F170" s="16"/>
      <c r="G170" s="17"/>
      <c r="H170" s="57"/>
      <c r="O170" s="148"/>
      <c r="P170" s="108"/>
      <c r="Q170" s="93" t="s">
        <v>161</v>
      </c>
      <c r="R170" s="148"/>
    </row>
    <row r="171" spans="3:18" ht="13.9" customHeight="1">
      <c r="C171" s="288"/>
      <c r="D171" s="16"/>
      <c r="E171" s="15" t="s">
        <v>141</v>
      </c>
      <c r="F171" s="16"/>
      <c r="G171" s="17"/>
      <c r="H171" s="57"/>
      <c r="O171" s="148"/>
      <c r="P171" s="150"/>
      <c r="Q171" s="164" t="s">
        <v>379</v>
      </c>
      <c r="R171" s="148"/>
    </row>
    <row r="172" spans="3:18" ht="13.9" customHeight="1">
      <c r="C172" s="288"/>
      <c r="D172" s="16"/>
      <c r="E172" s="15" t="s">
        <v>138</v>
      </c>
      <c r="F172" s="16"/>
      <c r="G172" s="17"/>
      <c r="H172" s="57"/>
      <c r="O172" s="148"/>
      <c r="P172" s="108"/>
      <c r="Q172" s="93" t="s">
        <v>162</v>
      </c>
      <c r="R172" s="148"/>
    </row>
    <row r="173" spans="3:18" ht="13.9" customHeight="1">
      <c r="C173" s="288"/>
      <c r="D173" s="16"/>
      <c r="E173" s="15"/>
      <c r="F173" s="16"/>
      <c r="G173" s="17"/>
      <c r="H173" s="57"/>
      <c r="O173" s="148"/>
      <c r="P173" s="150"/>
      <c r="Q173" s="94" t="s">
        <v>163</v>
      </c>
      <c r="R173" s="148"/>
    </row>
    <row r="174" spans="3:18" ht="13.9" customHeight="1">
      <c r="C174" s="288"/>
      <c r="D174" s="16"/>
      <c r="E174" s="15"/>
      <c r="F174" s="16"/>
      <c r="G174" s="17"/>
      <c r="H174" s="57"/>
      <c r="O174" s="148"/>
      <c r="P174" s="150"/>
      <c r="Q174" s="94" t="s">
        <v>164</v>
      </c>
      <c r="R174" s="148"/>
    </row>
    <row r="175" spans="3:18" ht="13.9" customHeight="1">
      <c r="C175" s="288"/>
      <c r="D175" s="16"/>
      <c r="E175" s="15"/>
      <c r="F175" s="16"/>
      <c r="G175" s="17"/>
      <c r="H175" s="57"/>
      <c r="O175" s="148"/>
      <c r="P175" s="148"/>
      <c r="Q175" s="94" t="s">
        <v>354</v>
      </c>
      <c r="R175" s="148"/>
    </row>
    <row r="176" spans="3:18" ht="13.9" customHeight="1">
      <c r="C176" s="288"/>
      <c r="D176" s="16"/>
      <c r="E176" s="15"/>
      <c r="F176" s="16"/>
      <c r="G176" s="17"/>
      <c r="H176" s="57"/>
      <c r="O176" s="148"/>
      <c r="P176" s="148"/>
      <c r="Q176" s="108" t="s">
        <v>165</v>
      </c>
      <c r="R176" s="148"/>
    </row>
    <row r="177" spans="3:18" ht="13.9" customHeight="1">
      <c r="C177" s="288"/>
      <c r="D177" s="16"/>
      <c r="E177" s="15"/>
      <c r="F177" s="16"/>
      <c r="G177" s="17"/>
      <c r="H177" s="57"/>
      <c r="O177" s="148"/>
      <c r="P177" s="148"/>
      <c r="Q177" s="26" t="s">
        <v>166</v>
      </c>
      <c r="R177" s="148"/>
    </row>
    <row r="178" spans="3:18" ht="13.9" customHeight="1">
      <c r="C178" s="288"/>
      <c r="D178" s="16"/>
      <c r="E178" s="15"/>
      <c r="F178" s="16"/>
      <c r="G178" s="17"/>
      <c r="H178" s="57"/>
      <c r="O178" s="148"/>
      <c r="P178" s="148"/>
      <c r="Q178" s="107" t="s">
        <v>167</v>
      </c>
      <c r="R178" s="148"/>
    </row>
    <row r="179" spans="3:18" ht="13.9" customHeight="1">
      <c r="C179" s="288"/>
      <c r="D179" s="16"/>
      <c r="E179" s="15"/>
      <c r="F179" s="16"/>
      <c r="G179" s="17"/>
      <c r="H179" s="57"/>
      <c r="O179" s="148"/>
      <c r="P179" s="148"/>
      <c r="Q179" s="107" t="s">
        <v>168</v>
      </c>
      <c r="R179" s="148"/>
    </row>
    <row r="180" spans="3:18" ht="13.9" customHeight="1" thickBot="1">
      <c r="C180" s="291"/>
      <c r="D180" s="58"/>
      <c r="E180" s="87"/>
      <c r="F180" s="58"/>
      <c r="G180" s="59"/>
      <c r="H180" s="60"/>
      <c r="O180" s="148"/>
      <c r="P180" s="148"/>
      <c r="Q180" s="26" t="s">
        <v>171</v>
      </c>
      <c r="R180" s="148"/>
    </row>
    <row r="181" spans="3:18" ht="13.9" customHeight="1">
      <c r="C181" s="287" t="s">
        <v>80</v>
      </c>
      <c r="D181" s="77"/>
      <c r="E181" s="88" t="s">
        <v>150</v>
      </c>
      <c r="F181" s="77"/>
      <c r="G181" s="78"/>
      <c r="H181" s="79"/>
      <c r="O181" s="148"/>
      <c r="P181" s="148"/>
      <c r="Q181" s="26" t="s">
        <v>172</v>
      </c>
      <c r="R181" s="148"/>
    </row>
    <row r="182" spans="3:18" ht="10.15" customHeight="1">
      <c r="C182" s="288"/>
      <c r="D182" s="16"/>
      <c r="E182" s="15" t="s">
        <v>137</v>
      </c>
      <c r="F182" s="16"/>
      <c r="G182" s="17"/>
      <c r="H182" s="57"/>
      <c r="O182" s="148"/>
      <c r="P182" s="148"/>
      <c r="Q182" s="26" t="s">
        <v>173</v>
      </c>
      <c r="R182" s="148"/>
    </row>
    <row r="183" spans="3:18" ht="10.15" customHeight="1">
      <c r="C183" s="288"/>
      <c r="D183" s="16"/>
      <c r="E183" s="15" t="s">
        <v>137</v>
      </c>
      <c r="F183" s="16"/>
      <c r="G183" s="17"/>
      <c r="H183" s="57"/>
      <c r="O183" s="148"/>
      <c r="P183" s="148"/>
      <c r="Q183" s="108" t="s">
        <v>349</v>
      </c>
      <c r="R183" s="148"/>
    </row>
    <row r="184" spans="3:18" ht="10.15" customHeight="1">
      <c r="C184" s="288"/>
      <c r="D184" s="16"/>
      <c r="E184" s="15" t="s">
        <v>137</v>
      </c>
      <c r="F184" s="16"/>
      <c r="G184" s="17"/>
      <c r="H184" s="57"/>
      <c r="O184" s="148"/>
      <c r="P184" s="148"/>
      <c r="Q184" s="26" t="s">
        <v>169</v>
      </c>
      <c r="R184" s="148"/>
    </row>
    <row r="185" spans="3:18" ht="10.15" customHeight="1">
      <c r="C185" s="288"/>
      <c r="D185" s="16"/>
      <c r="E185" s="15" t="s">
        <v>138</v>
      </c>
      <c r="F185" s="16"/>
      <c r="G185" s="17"/>
      <c r="H185" s="57"/>
      <c r="O185" s="148"/>
      <c r="P185" s="148"/>
      <c r="Q185" s="26" t="s">
        <v>170</v>
      </c>
      <c r="R185" s="148"/>
    </row>
    <row r="186" spans="3:18" ht="10.15" customHeight="1">
      <c r="C186" s="288"/>
      <c r="D186" s="16"/>
      <c r="E186" s="15" t="s">
        <v>138</v>
      </c>
      <c r="F186" s="16"/>
      <c r="G186" s="17"/>
      <c r="H186" s="57"/>
      <c r="O186" s="148"/>
      <c r="P186" s="148"/>
      <c r="Q186" s="93" t="s">
        <v>359</v>
      </c>
      <c r="R186" s="148"/>
    </row>
    <row r="187" spans="3:18" ht="10.15" customHeight="1">
      <c r="C187" s="288"/>
      <c r="D187" s="16"/>
      <c r="E187" s="15" t="s">
        <v>138</v>
      </c>
      <c r="F187" s="16"/>
      <c r="G187" s="17"/>
      <c r="H187" s="57"/>
      <c r="O187" s="148"/>
      <c r="P187" s="148"/>
      <c r="Q187" s="28" t="s">
        <v>372</v>
      </c>
      <c r="R187" s="148"/>
    </row>
    <row r="188" spans="3:18" ht="10.15" customHeight="1">
      <c r="C188" s="288"/>
      <c r="D188" s="16"/>
      <c r="E188" s="15"/>
      <c r="F188" s="16"/>
      <c r="G188" s="17"/>
      <c r="H188" s="57"/>
      <c r="O188" s="148"/>
      <c r="P188" s="148"/>
      <c r="Q188" s="164" t="s">
        <v>403</v>
      </c>
      <c r="R188" s="148"/>
    </row>
    <row r="189" spans="3:18" ht="10.15" customHeight="1">
      <c r="C189" s="288"/>
      <c r="D189" s="16"/>
      <c r="E189" s="15" t="s">
        <v>138</v>
      </c>
      <c r="F189" s="16"/>
      <c r="G189" s="17"/>
      <c r="H189" s="57"/>
      <c r="O189" s="148"/>
      <c r="P189" s="148"/>
      <c r="Q189" s="37"/>
      <c r="R189" s="148"/>
    </row>
    <row r="190" spans="3:18" ht="10.15" customHeight="1">
      <c r="C190" s="288"/>
      <c r="D190" s="16"/>
      <c r="E190" s="15" t="s">
        <v>136</v>
      </c>
      <c r="F190" s="16"/>
      <c r="G190" s="17"/>
      <c r="H190" s="57"/>
      <c r="O190" s="148"/>
      <c r="P190" s="148"/>
      <c r="Q190" s="36"/>
      <c r="R190" s="148"/>
    </row>
    <row r="191" spans="3:18" ht="10.15" customHeight="1" thickBot="1">
      <c r="C191" s="291"/>
      <c r="D191" s="58"/>
      <c r="E191" s="87"/>
      <c r="F191" s="58"/>
      <c r="G191" s="59"/>
      <c r="H191" s="60"/>
      <c r="O191" s="148"/>
      <c r="P191" s="148"/>
      <c r="Q191" s="151"/>
      <c r="R191" s="148"/>
    </row>
    <row r="192" spans="3:18" ht="10.15" customHeight="1">
      <c r="O192" s="148"/>
      <c r="P192" s="148"/>
      <c r="Q192" s="152"/>
      <c r="R192" s="148"/>
    </row>
    <row r="193" spans="15:18" ht="10.15" customHeight="1">
      <c r="O193" s="148"/>
      <c r="P193" s="148"/>
      <c r="Q193" s="91"/>
      <c r="R193" s="148"/>
    </row>
    <row r="194" spans="15:18" ht="10.15" customHeight="1">
      <c r="O194" s="148"/>
      <c r="P194" s="148"/>
      <c r="Q194" s="153"/>
      <c r="R194" s="148"/>
    </row>
    <row r="195" spans="15:18" ht="10.15" customHeight="1">
      <c r="O195" s="148"/>
      <c r="P195" s="148"/>
      <c r="Q195" s="28"/>
      <c r="R195" s="148"/>
    </row>
    <row r="196" spans="15:18" ht="10.15" customHeight="1">
      <c r="O196" s="148"/>
      <c r="P196" s="148"/>
      <c r="Q196" s="91"/>
      <c r="R196" s="148"/>
    </row>
    <row r="197" spans="15:18" ht="10.15" customHeight="1">
      <c r="O197" s="148"/>
      <c r="P197" s="148"/>
      <c r="Q197" s="28"/>
      <c r="R197" s="148"/>
    </row>
    <row r="198" spans="15:18" ht="10.15" customHeight="1">
      <c r="O198" s="148"/>
      <c r="P198" s="148"/>
      <c r="Q198" s="28"/>
      <c r="R198" s="148"/>
    </row>
    <row r="199" spans="15:18" ht="10.15" customHeight="1">
      <c r="O199" s="148"/>
      <c r="P199" s="148"/>
      <c r="Q199" s="152"/>
      <c r="R199" s="148"/>
    </row>
    <row r="200" spans="15:18" ht="10.15" customHeight="1">
      <c r="O200" s="148"/>
      <c r="P200" s="148"/>
      <c r="Q200" s="28"/>
      <c r="R200" s="148"/>
    </row>
    <row r="201" spans="15:18" ht="10.15" customHeight="1">
      <c r="O201" s="148"/>
      <c r="P201" s="148"/>
      <c r="Q201" s="28"/>
      <c r="R201" s="148"/>
    </row>
    <row r="202" spans="15:18" ht="10.15" customHeight="1">
      <c r="O202" s="148"/>
      <c r="P202" s="148"/>
      <c r="Q202" s="28"/>
      <c r="R202" s="148"/>
    </row>
    <row r="203" spans="15:18" ht="10.15" customHeight="1">
      <c r="O203" s="148"/>
      <c r="P203" s="148"/>
      <c r="Q203" s="28"/>
      <c r="R203" s="148"/>
    </row>
    <row r="204" spans="15:18" ht="10.15" customHeight="1">
      <c r="O204" s="148"/>
      <c r="P204" s="148"/>
      <c r="Q204" s="108"/>
      <c r="R204" s="148"/>
    </row>
    <row r="205" spans="15:18" ht="10.15" customHeight="1">
      <c r="O205" s="148"/>
      <c r="P205" s="148"/>
      <c r="Q205" s="28"/>
      <c r="R205" s="148"/>
    </row>
    <row r="206" spans="15:18" ht="10.15" customHeight="1">
      <c r="O206" s="148"/>
      <c r="P206" s="148"/>
      <c r="Q206" s="28"/>
      <c r="R206" s="148"/>
    </row>
    <row r="207" spans="15:18" ht="10.15" customHeight="1">
      <c r="O207" s="148"/>
      <c r="P207" s="148"/>
      <c r="Q207" s="149"/>
      <c r="R207" s="148"/>
    </row>
    <row r="208" spans="15:18" ht="10.15" customHeight="1">
      <c r="O208" s="148"/>
      <c r="P208" s="148"/>
      <c r="Q208" s="148"/>
      <c r="R208" s="148"/>
    </row>
    <row r="209" spans="15:18" ht="10.15" customHeight="1">
      <c r="O209" s="148"/>
      <c r="P209" s="148"/>
      <c r="Q209" s="148"/>
      <c r="R209" s="148"/>
    </row>
    <row r="210" spans="15:18" ht="10.15" customHeight="1">
      <c r="O210" s="148"/>
      <c r="P210" s="148"/>
      <c r="Q210" s="148"/>
      <c r="R210" s="148"/>
    </row>
    <row r="211" spans="15:18" ht="10.15" customHeight="1">
      <c r="O211" s="148"/>
      <c r="P211" s="148"/>
      <c r="Q211" s="148"/>
      <c r="R211" s="148"/>
    </row>
    <row r="212" spans="15:18" ht="10.15" customHeight="1">
      <c r="O212" s="148"/>
      <c r="P212" s="148"/>
      <c r="Q212" s="148"/>
      <c r="R212" s="148"/>
    </row>
    <row r="213" spans="15:18" ht="10.15" customHeight="1">
      <c r="O213" s="148"/>
      <c r="P213" s="148"/>
      <c r="Q213" s="148"/>
      <c r="R213" s="148"/>
    </row>
    <row r="214" spans="15:18" ht="10.15" customHeight="1">
      <c r="O214" s="148"/>
      <c r="P214" s="148"/>
      <c r="Q214" s="148"/>
      <c r="R214" s="148"/>
    </row>
    <row r="215" spans="15:18" ht="10.15" customHeight="1">
      <c r="O215" s="148"/>
      <c r="P215" s="148"/>
      <c r="Q215" s="148"/>
      <c r="R215" s="148"/>
    </row>
    <row r="216" spans="15:18" ht="10.15" customHeight="1">
      <c r="O216" s="148"/>
      <c r="P216" s="148"/>
      <c r="Q216" s="148"/>
      <c r="R216" s="148"/>
    </row>
    <row r="217" spans="15:18" ht="10.15" customHeight="1"/>
    <row r="218" spans="15:18" ht="10.15" customHeight="1"/>
    <row r="219" spans="15:18" ht="10.15" customHeight="1"/>
    <row r="220" spans="15:18" ht="10.15" customHeight="1"/>
    <row r="221" spans="15:18" ht="10.15" customHeight="1"/>
    <row r="222" spans="15:18" ht="10.15" customHeight="1"/>
    <row r="223" spans="15:18" ht="10.15" customHeight="1"/>
    <row r="224" spans="15:18" ht="10.15" customHeight="1"/>
    <row r="225" ht="10.15" customHeight="1"/>
    <row r="226" ht="10.15" customHeight="1"/>
    <row r="227" ht="10.15" customHeight="1"/>
    <row r="228" ht="10.15" customHeight="1"/>
    <row r="229" ht="10.15" customHeight="1"/>
    <row r="230" ht="10.15" customHeight="1"/>
    <row r="231" ht="10.15" customHeight="1"/>
    <row r="232" ht="10.15" customHeight="1"/>
    <row r="233" ht="10.15" customHeight="1"/>
    <row r="234" ht="10.15" customHeight="1"/>
    <row r="235" ht="10.15" customHeight="1"/>
    <row r="236" ht="10.15" customHeight="1"/>
    <row r="237" ht="10.15" customHeight="1"/>
    <row r="238" ht="10.15" customHeight="1"/>
    <row r="239" ht="10.15" customHeight="1"/>
    <row r="240" ht="10.15" customHeight="1"/>
    <row r="241" ht="10.15" customHeight="1"/>
  </sheetData>
  <autoFilter ref="J140:M140">
    <sortState ref="J141:M152">
      <sortCondition descending="1" ref="K140"/>
    </sortState>
  </autoFilter>
  <sortState ref="A3:E3">
    <sortCondition ref="A2:A3"/>
  </sortState>
  <mergeCells count="12">
    <mergeCell ref="C149:C164"/>
    <mergeCell ref="C165:C180"/>
    <mergeCell ref="C181:C191"/>
    <mergeCell ref="C5:C20"/>
    <mergeCell ref="C21:C36"/>
    <mergeCell ref="C37:C52"/>
    <mergeCell ref="C53:C68"/>
    <mergeCell ref="C69:C84"/>
    <mergeCell ref="C85:C100"/>
    <mergeCell ref="C101:C116"/>
    <mergeCell ref="C117:C132"/>
    <mergeCell ref="C133:C148"/>
  </mergeCells>
  <phoneticPr fontId="3" type="noConversion"/>
  <conditionalFormatting sqref="C2">
    <cfRule type="containsText" dxfId="33" priority="16" operator="containsText" text="NEW">
      <formula>NOT(ISERROR(SEARCH("NEW",C2)))</formula>
    </cfRule>
  </conditionalFormatting>
  <conditionalFormatting sqref="C5 C6:G8 E44:G44 G68 D135:D856 C1:G1 C3:G4 C2:E2 G2 E5:G5 C21 C37 D9:G43 D45:G67 C85 C69:G69 C101 C117 C133 C181:G181 C53 D70:G180 C192:G1048576 D182:G191">
    <cfRule type="expression" dxfId="32" priority="17">
      <formula>OR(#REF!="NEW", #REF!="REV")</formula>
    </cfRule>
  </conditionalFormatting>
  <conditionalFormatting sqref="D123">
    <cfRule type="expression" dxfId="31" priority="15">
      <formula>OR(#REF!="NEW", #REF!="REV")</formula>
    </cfRule>
  </conditionalFormatting>
  <conditionalFormatting sqref="H15">
    <cfRule type="expression" dxfId="30" priority="14">
      <formula>OR(#REF!="NEW", #REF!="REV")</formula>
    </cfRule>
  </conditionalFormatting>
  <conditionalFormatting sqref="H26">
    <cfRule type="expression" dxfId="29" priority="13">
      <formula>OR(#REF!="NEW", #REF!="REV")</formula>
    </cfRule>
  </conditionalFormatting>
  <conditionalFormatting sqref="H37">
    <cfRule type="expression" dxfId="28" priority="12">
      <formula>OR(#REF!="NEW", #REF!="REV")</formula>
    </cfRule>
  </conditionalFormatting>
  <conditionalFormatting sqref="H48">
    <cfRule type="expression" dxfId="27" priority="11">
      <formula>OR(#REF!="NEW", #REF!="REV")</formula>
    </cfRule>
  </conditionalFormatting>
  <conditionalFormatting sqref="H59">
    <cfRule type="expression" dxfId="26" priority="10">
      <formula>OR(#REF!="NEW", #REF!="REV")</formula>
    </cfRule>
  </conditionalFormatting>
  <conditionalFormatting sqref="H70">
    <cfRule type="expression" dxfId="25" priority="9">
      <formula>OR(#REF!="NEW", #REF!="REV")</formula>
    </cfRule>
  </conditionalFormatting>
  <conditionalFormatting sqref="H81">
    <cfRule type="expression" dxfId="24" priority="8">
      <formula>OR(#REF!="NEW", #REF!="REV")</formula>
    </cfRule>
  </conditionalFormatting>
  <conditionalFormatting sqref="H92">
    <cfRule type="expression" dxfId="23" priority="7">
      <formula>OR(#REF!="NEW", #REF!="REV")</formula>
    </cfRule>
  </conditionalFormatting>
  <conditionalFormatting sqref="H103">
    <cfRule type="expression" dxfId="22" priority="6">
      <formula>OR(#REF!="NEW", #REF!="REV")</formula>
    </cfRule>
  </conditionalFormatting>
  <conditionalFormatting sqref="H114">
    <cfRule type="expression" dxfId="21" priority="5">
      <formula>OR(#REF!="NEW", #REF!="REV")</formula>
    </cfRule>
  </conditionalFormatting>
  <conditionalFormatting sqref="H125">
    <cfRule type="expression" dxfId="20" priority="4">
      <formula>OR(#REF!="NEW", #REF!="REV")</formula>
    </cfRule>
  </conditionalFormatting>
  <conditionalFormatting sqref="G35">
    <cfRule type="expression" dxfId="19" priority="20">
      <formula>OR(#REF!="NEW", #REF!="REV")</formula>
    </cfRule>
  </conditionalFormatting>
  <conditionalFormatting sqref="D45">
    <cfRule type="expression" dxfId="18" priority="22">
      <formula>OR(#REF!="NEW", #REF!="REV")</formula>
    </cfRule>
  </conditionalFormatting>
  <conditionalFormatting sqref="D68:F68">
    <cfRule type="expression" dxfId="17" priority="2">
      <formula>OR(#REF!="NEW", #REF!="REV")</formula>
    </cfRule>
  </conditionalFormatting>
  <conditionalFormatting sqref="C2">
    <cfRule type="expression" dxfId="16" priority="28">
      <formula>OR($C2="NEW", $C2="REV")</formula>
    </cfRule>
  </conditionalFormatting>
  <conditionalFormatting sqref="Q191">
    <cfRule type="expression" dxfId="15" priority="1">
      <formula>OR(#REF!="NEW", #REF!="REV")</formula>
    </cfRule>
  </conditionalFormatting>
  <dataValidations disablePrompts="1" count="1">
    <dataValidation type="list" allowBlank="1" showInputMessage="1" showErrorMessage="1" sqref="E5:E135">
      <formula1>"국내,해외,서류"</formula1>
    </dataValidation>
  </dataValidations>
  <printOptions horizontalCentered="1"/>
  <pageMargins left="0" right="0" top="0" bottom="0" header="0" footer="0"/>
  <pageSetup paperSize="9" scale="81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P38"/>
  <sheetViews>
    <sheetView workbookViewId="0">
      <selection activeCell="C31" sqref="C31"/>
    </sheetView>
  </sheetViews>
  <sheetFormatPr defaultRowHeight="16.5"/>
  <cols>
    <col min="1" max="1" width="26.25" bestFit="1" customWidth="1"/>
    <col min="2" max="7" width="11.25" bestFit="1" customWidth="1"/>
    <col min="8" max="8" width="17.75" bestFit="1" customWidth="1"/>
    <col min="9" max="9" width="15.75" bestFit="1" customWidth="1"/>
    <col min="10" max="14" width="12.25" bestFit="1" customWidth="1"/>
    <col min="15" max="15" width="34.25" bestFit="1" customWidth="1"/>
    <col min="16" max="16" width="12.25" bestFit="1" customWidth="1"/>
  </cols>
  <sheetData>
    <row r="1" spans="1:16">
      <c r="A1" t="s">
        <v>81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58</v>
      </c>
    </row>
    <row r="2" spans="1:16">
      <c r="A2" t="s">
        <v>59</v>
      </c>
      <c r="O2" t="s">
        <v>60</v>
      </c>
    </row>
    <row r="3" spans="1:16">
      <c r="A3" t="s">
        <v>61</v>
      </c>
      <c r="B3" t="s">
        <v>42</v>
      </c>
      <c r="C3" t="s">
        <v>62</v>
      </c>
      <c r="D3" t="s">
        <v>63</v>
      </c>
      <c r="E3" t="s">
        <v>64</v>
      </c>
      <c r="F3" t="s">
        <v>82</v>
      </c>
      <c r="G3" t="s">
        <v>65</v>
      </c>
      <c r="H3" t="s">
        <v>66</v>
      </c>
      <c r="I3" t="s">
        <v>67</v>
      </c>
      <c r="J3" t="s">
        <v>43</v>
      </c>
      <c r="K3" t="s">
        <v>68</v>
      </c>
      <c r="M3" t="s">
        <v>69</v>
      </c>
      <c r="N3" t="s">
        <v>70</v>
      </c>
    </row>
    <row r="4" spans="1:16">
      <c r="K4" t="s">
        <v>71</v>
      </c>
      <c r="L4" t="s">
        <v>72</v>
      </c>
    </row>
    <row r="5" spans="1:16">
      <c r="A5">
        <v>1</v>
      </c>
      <c r="N5" t="s">
        <v>74</v>
      </c>
    </row>
    <row r="6" spans="1:16">
      <c r="A6">
        <v>2</v>
      </c>
      <c r="N6" t="s">
        <v>74</v>
      </c>
    </row>
    <row r="7" spans="1:16">
      <c r="A7">
        <v>3</v>
      </c>
      <c r="N7" t="s">
        <v>74</v>
      </c>
    </row>
    <row r="8" spans="1:16">
      <c r="A8">
        <v>4</v>
      </c>
      <c r="N8" t="s">
        <v>74</v>
      </c>
    </row>
    <row r="9" spans="1:16">
      <c r="A9">
        <v>5</v>
      </c>
      <c r="N9" t="s">
        <v>74</v>
      </c>
    </row>
    <row r="10" spans="1:16">
      <c r="A10">
        <v>6</v>
      </c>
      <c r="N10" t="s">
        <v>74</v>
      </c>
    </row>
    <row r="11" spans="1:16">
      <c r="A11">
        <v>7</v>
      </c>
      <c r="N11" t="s">
        <v>74</v>
      </c>
    </row>
    <row r="12" spans="1:16">
      <c r="A12">
        <v>8</v>
      </c>
      <c r="N12" t="s">
        <v>74</v>
      </c>
    </row>
    <row r="13" spans="1:16">
      <c r="A13">
        <v>9</v>
      </c>
      <c r="N13" t="s">
        <v>74</v>
      </c>
    </row>
    <row r="14" spans="1:16">
      <c r="A14">
        <v>10</v>
      </c>
      <c r="N14" t="s">
        <v>74</v>
      </c>
    </row>
    <row r="15" spans="1:16">
      <c r="A15">
        <v>11</v>
      </c>
      <c r="H15" t="s">
        <v>83</v>
      </c>
      <c r="I15" t="s">
        <v>83</v>
      </c>
      <c r="N15" t="s">
        <v>74</v>
      </c>
    </row>
    <row r="16" spans="1:16">
      <c r="A16">
        <v>12</v>
      </c>
      <c r="N16" t="s">
        <v>74</v>
      </c>
    </row>
    <row r="17" spans="1:14">
      <c r="A17">
        <v>13</v>
      </c>
      <c r="N17" t="s">
        <v>74</v>
      </c>
    </row>
    <row r="18" spans="1:14">
      <c r="A18">
        <v>14</v>
      </c>
      <c r="N18" t="s">
        <v>74</v>
      </c>
    </row>
    <row r="19" spans="1:14">
      <c r="A19">
        <v>15</v>
      </c>
      <c r="N19" t="s">
        <v>74</v>
      </c>
    </row>
    <row r="20" spans="1:14">
      <c r="A20">
        <v>16</v>
      </c>
      <c r="N20" t="s">
        <v>74</v>
      </c>
    </row>
    <row r="21" spans="1:14">
      <c r="A21">
        <v>17</v>
      </c>
      <c r="N21" t="s">
        <v>74</v>
      </c>
    </row>
    <row r="22" spans="1:14">
      <c r="A22">
        <v>18</v>
      </c>
      <c r="N22" t="s">
        <v>74</v>
      </c>
    </row>
    <row r="23" spans="1:14">
      <c r="A23">
        <v>19</v>
      </c>
      <c r="N23" t="s">
        <v>74</v>
      </c>
    </row>
    <row r="24" spans="1:14">
      <c r="A24">
        <v>20</v>
      </c>
      <c r="K24" t="s">
        <v>73</v>
      </c>
      <c r="N24" t="s">
        <v>74</v>
      </c>
    </row>
    <row r="25" spans="1:14">
      <c r="A25">
        <v>21</v>
      </c>
      <c r="K25" t="s">
        <v>73</v>
      </c>
      <c r="N25" t="s">
        <v>74</v>
      </c>
    </row>
    <row r="26" spans="1:14">
      <c r="A26">
        <v>22</v>
      </c>
      <c r="K26" t="s">
        <v>73</v>
      </c>
      <c r="N26" t="s">
        <v>74</v>
      </c>
    </row>
    <row r="27" spans="1:14">
      <c r="A27">
        <v>23</v>
      </c>
      <c r="K27" t="s">
        <v>73</v>
      </c>
      <c r="N27" t="s">
        <v>74</v>
      </c>
    </row>
    <row r="28" spans="1:14">
      <c r="A28">
        <v>24</v>
      </c>
      <c r="K28" t="s">
        <v>73</v>
      </c>
      <c r="N28" t="s">
        <v>74</v>
      </c>
    </row>
    <row r="29" spans="1:14">
      <c r="A29">
        <v>25</v>
      </c>
      <c r="K29" t="s">
        <v>73</v>
      </c>
      <c r="N29" t="s">
        <v>74</v>
      </c>
    </row>
    <row r="30" spans="1:14">
      <c r="A30">
        <v>26</v>
      </c>
      <c r="K30" t="s">
        <v>73</v>
      </c>
      <c r="N30" t="s">
        <v>74</v>
      </c>
    </row>
    <row r="31" spans="1:14">
      <c r="A31">
        <v>27</v>
      </c>
      <c r="K31" t="s">
        <v>73</v>
      </c>
      <c r="N31" t="s">
        <v>74</v>
      </c>
    </row>
    <row r="32" spans="1:14">
      <c r="A32">
        <v>28</v>
      </c>
      <c r="K32" t="s">
        <v>73</v>
      </c>
      <c r="N32" t="s">
        <v>74</v>
      </c>
    </row>
    <row r="33" spans="1:14">
      <c r="A33">
        <v>29</v>
      </c>
      <c r="K33" t="s">
        <v>73</v>
      </c>
      <c r="N33" t="s">
        <v>74</v>
      </c>
    </row>
    <row r="34" spans="1:14">
      <c r="A34">
        <v>30</v>
      </c>
      <c r="H34" t="s">
        <v>83</v>
      </c>
      <c r="K34" t="s">
        <v>73</v>
      </c>
      <c r="N34" t="s">
        <v>74</v>
      </c>
    </row>
    <row r="35" spans="1:14">
      <c r="A35">
        <v>31</v>
      </c>
      <c r="K35" t="s">
        <v>73</v>
      </c>
      <c r="N35" t="s">
        <v>74</v>
      </c>
    </row>
    <row r="36" spans="1:14">
      <c r="A36">
        <v>32</v>
      </c>
      <c r="K36" t="s">
        <v>73</v>
      </c>
      <c r="N36" t="s">
        <v>74</v>
      </c>
    </row>
    <row r="37" spans="1:14">
      <c r="A37">
        <v>33</v>
      </c>
      <c r="K37" t="s">
        <v>73</v>
      </c>
      <c r="N37" t="s">
        <v>74</v>
      </c>
    </row>
    <row r="38" spans="1:14">
      <c r="A38">
        <v>34</v>
      </c>
      <c r="K38" t="s">
        <v>73</v>
      </c>
      <c r="N38" t="s">
        <v>74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7998CCB-B105-44DA-A83D-9ECAF5C639B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4</vt:i4>
      </vt:variant>
    </vt:vector>
  </HeadingPairs>
  <TitlesOfParts>
    <vt:vector size="7" baseType="lpstr">
      <vt:lpstr>Sheet1</vt:lpstr>
      <vt:lpstr>Sheet2</vt:lpstr>
      <vt:lpstr>CAR 현황</vt:lpstr>
      <vt:lpstr>Sheet1!Print_Area</vt:lpstr>
      <vt:lpstr>Sheet2!Print_Area</vt:lpstr>
      <vt:lpstr>Sheet1!Print_Titles</vt:lpstr>
      <vt:lpstr>Sheet2!Print_Titles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정비품질</dc:creator>
  <cp:lastModifiedBy>twayair</cp:lastModifiedBy>
  <cp:lastPrinted>2026-06-29T04:48:05Z</cp:lastPrinted>
  <dcterms:created xsi:type="dcterms:W3CDTF">2024-09-26T07:38:41Z</dcterms:created>
  <dcterms:modified xsi:type="dcterms:W3CDTF">2026-07-07T03:49:33Z</dcterms:modified>
</cp:coreProperties>
</file>