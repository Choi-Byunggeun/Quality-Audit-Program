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91.19\정비품질팀\7. 정비본부 품질심사\3. 품질심사원\품질심사원\0. 품질심사원 현황\"/>
    </mc:Choice>
  </mc:AlternateContent>
  <bookViews>
    <workbookView xWindow="855" yWindow="1365" windowWidth="24975" windowHeight="14415"/>
  </bookViews>
  <sheets>
    <sheet name="품질심사원 현황" sheetId="1" r:id="rId1"/>
    <sheet name="Sheet2" sheetId="7" r:id="rId2"/>
    <sheet name="Sheet1" sheetId="6" r:id="rId3"/>
    <sheet name="심사이력" sheetId="4" r:id="rId4"/>
    <sheet name="교육이력" sheetId="5" r:id="rId5"/>
    <sheet name="품질심사원 임면 현황" sheetId="3" r:id="rId6"/>
  </sheets>
  <definedNames>
    <definedName name="_xlnm._FilterDatabase" localSheetId="0" hidden="1">'품질심사원 현황'!$F$3:$F$11</definedName>
    <definedName name="_xlnm.Print_Area" localSheetId="5">'품질심사원 임면 현황'!#REF!</definedName>
    <definedName name="_xlnm.Print_Area" localSheetId="0">'품질심사원 현황'!$A$1:$R$19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O4" i="1"/>
  <c r="P21" i="3" l="1"/>
  <c r="P19" i="3" l="1"/>
  <c r="O19" i="3"/>
  <c r="H4" i="6"/>
  <c r="G4" i="6"/>
  <c r="I4" i="6" s="1"/>
  <c r="P4" i="1"/>
  <c r="H6" i="6" l="1"/>
</calcChain>
</file>

<file path=xl/sharedStrings.xml><?xml version="1.0" encoding="utf-8"?>
<sst xmlns="http://schemas.openxmlformats.org/spreadsheetml/2006/main" count="650" uniqueCount="408">
  <si>
    <t>순번</t>
    <phoneticPr fontId="2" type="noConversion"/>
  </si>
  <si>
    <t>성명</t>
    <phoneticPr fontId="2" type="noConversion"/>
  </si>
  <si>
    <t>직위</t>
    <phoneticPr fontId="2" type="noConversion"/>
  </si>
  <si>
    <t>사번</t>
    <phoneticPr fontId="2" type="noConversion"/>
  </si>
  <si>
    <t>임명일자</t>
    <phoneticPr fontId="2" type="noConversion"/>
  </si>
  <si>
    <t>관련근거</t>
    <phoneticPr fontId="2" type="noConversion"/>
  </si>
  <si>
    <t>임면일자</t>
    <phoneticPr fontId="2" type="noConversion"/>
  </si>
  <si>
    <t>비고</t>
    <phoneticPr fontId="2" type="noConversion"/>
  </si>
  <si>
    <t>부장</t>
    <phoneticPr fontId="2" type="noConversion"/>
  </si>
  <si>
    <t>T140085</t>
  </si>
  <si>
    <t>T100023</t>
  </si>
  <si>
    <t>이이봉</t>
    <phoneticPr fontId="2" type="noConversion"/>
  </si>
  <si>
    <t>T100051</t>
  </si>
  <si>
    <t>영문</t>
    <phoneticPr fontId="2" type="noConversion"/>
  </si>
  <si>
    <t>T140182</t>
    <phoneticPr fontId="2" type="noConversion"/>
  </si>
  <si>
    <t>-</t>
    <phoneticPr fontId="2" type="noConversion"/>
  </si>
  <si>
    <t>Next Due</t>
    <phoneticPr fontId="2" type="noConversion"/>
  </si>
  <si>
    <t>김용일</t>
    <phoneticPr fontId="2" type="noConversion"/>
  </si>
  <si>
    <t>부장</t>
    <phoneticPr fontId="2" type="noConversion"/>
  </si>
  <si>
    <t>T180199</t>
    <phoneticPr fontId="2" type="noConversion"/>
  </si>
  <si>
    <t>박병권</t>
    <phoneticPr fontId="2" type="noConversion"/>
  </si>
  <si>
    <t>T160090</t>
    <phoneticPr fontId="2" type="noConversion"/>
  </si>
  <si>
    <t>품 AM2019-151</t>
    <phoneticPr fontId="2" type="noConversion"/>
  </si>
  <si>
    <t>T160098</t>
    <phoneticPr fontId="2" type="noConversion"/>
  </si>
  <si>
    <t>PARK BYOUNG KWON</t>
    <phoneticPr fontId="2" type="noConversion"/>
  </si>
  <si>
    <t>교육 2Y</t>
    <phoneticPr fontId="2" type="noConversion"/>
  </si>
  <si>
    <t>평가 2Y</t>
    <phoneticPr fontId="2" type="noConversion"/>
  </si>
  <si>
    <t>원대연</t>
    <phoneticPr fontId="2" type="noConversion"/>
  </si>
  <si>
    <t>신영웅</t>
    <phoneticPr fontId="2" type="noConversion"/>
  </si>
  <si>
    <t>T170019</t>
    <phoneticPr fontId="2" type="noConversion"/>
  </si>
  <si>
    <t>T200001</t>
    <phoneticPr fontId="2" type="noConversion"/>
  </si>
  <si>
    <t>품 AM2020-067</t>
    <phoneticPr fontId="2" type="noConversion"/>
  </si>
  <si>
    <t>WON DAE YEON</t>
    <phoneticPr fontId="2" type="noConversion"/>
  </si>
  <si>
    <t>임주한</t>
    <phoneticPr fontId="2" type="noConversion"/>
  </si>
  <si>
    <t>양원</t>
    <phoneticPr fontId="2" type="noConversion"/>
  </si>
  <si>
    <t>T170149</t>
    <phoneticPr fontId="2" type="noConversion"/>
  </si>
  <si>
    <t>교육</t>
    <phoneticPr fontId="2" type="noConversion"/>
  </si>
  <si>
    <t>티웨이항공 내부 품질심사원 교육</t>
    <phoneticPr fontId="2" type="noConversion"/>
  </si>
  <si>
    <t>한종국</t>
    <phoneticPr fontId="2" type="noConversion"/>
  </si>
  <si>
    <t>이중기</t>
    <phoneticPr fontId="2" type="noConversion"/>
  </si>
  <si>
    <t>부장</t>
    <phoneticPr fontId="2" type="noConversion"/>
  </si>
  <si>
    <t>부장</t>
    <phoneticPr fontId="2" type="noConversion"/>
  </si>
  <si>
    <t>사직</t>
    <phoneticPr fontId="2" type="noConversion"/>
  </si>
  <si>
    <t>사직</t>
    <phoneticPr fontId="2" type="noConversion"/>
  </si>
  <si>
    <t>서한석</t>
    <phoneticPr fontId="2" type="noConversion"/>
  </si>
  <si>
    <t>사원</t>
    <phoneticPr fontId="2" type="noConversion"/>
  </si>
  <si>
    <t>김완호</t>
    <phoneticPr fontId="2" type="noConversion"/>
  </si>
  <si>
    <t>임동민</t>
    <phoneticPr fontId="2" type="noConversion"/>
  </si>
  <si>
    <t>강경복</t>
    <phoneticPr fontId="2" type="noConversion"/>
  </si>
  <si>
    <t>정훈교</t>
    <phoneticPr fontId="2" type="noConversion"/>
  </si>
  <si>
    <t>T160301</t>
    <phoneticPr fontId="2" type="noConversion"/>
  </si>
  <si>
    <t>품 AM2021-033</t>
    <phoneticPr fontId="2" type="noConversion"/>
  </si>
  <si>
    <t>T160383</t>
    <phoneticPr fontId="2" type="noConversion"/>
  </si>
  <si>
    <t>T100012</t>
    <phoneticPr fontId="2" type="noConversion"/>
  </si>
  <si>
    <t>T170395</t>
    <phoneticPr fontId="2" type="noConversion"/>
  </si>
  <si>
    <t>LIM DONG MIN</t>
    <phoneticPr fontId="2" type="noConversion"/>
  </si>
  <si>
    <t>장준철</t>
    <phoneticPr fontId="2" type="noConversion"/>
  </si>
  <si>
    <t>사직</t>
    <phoneticPr fontId="2" type="noConversion"/>
  </si>
  <si>
    <t>부장</t>
    <phoneticPr fontId="2" type="noConversion"/>
  </si>
  <si>
    <t>2021.09.01</t>
    <phoneticPr fontId="2" type="noConversion"/>
  </si>
  <si>
    <t>2021.03.01</t>
    <phoneticPr fontId="2" type="noConversion"/>
  </si>
  <si>
    <t>2021.03.01</t>
    <phoneticPr fontId="2" type="noConversion"/>
  </si>
  <si>
    <t>2020. 12.01</t>
    <phoneticPr fontId="2" type="noConversion"/>
  </si>
  <si>
    <t>2020.03.01</t>
    <phoneticPr fontId="2" type="noConversion"/>
  </si>
  <si>
    <t>유준열</t>
    <phoneticPr fontId="2" type="noConversion"/>
  </si>
  <si>
    <t>최병근</t>
    <phoneticPr fontId="2" type="noConversion"/>
  </si>
  <si>
    <t>T180261</t>
    <phoneticPr fontId="2" type="noConversion"/>
  </si>
  <si>
    <t>T180476</t>
    <phoneticPr fontId="2" type="noConversion"/>
  </si>
  <si>
    <t>YOU JUN YEOL</t>
    <phoneticPr fontId="2" type="noConversion"/>
  </si>
  <si>
    <t>품 AM2021-326</t>
    <phoneticPr fontId="2" type="noConversion"/>
  </si>
  <si>
    <t>품 AM2021-326</t>
    <phoneticPr fontId="2" type="noConversion"/>
  </si>
  <si>
    <t>권기만</t>
    <phoneticPr fontId="2" type="noConversion"/>
  </si>
  <si>
    <t>권혁</t>
    <phoneticPr fontId="2" type="noConversion"/>
  </si>
  <si>
    <t>차장</t>
    <phoneticPr fontId="2" type="noConversion"/>
  </si>
  <si>
    <t>T180169</t>
    <phoneticPr fontId="2" type="noConversion"/>
  </si>
  <si>
    <t>품 AM2021-358</t>
    <phoneticPr fontId="2" type="noConversion"/>
  </si>
  <si>
    <t>대리</t>
    <phoneticPr fontId="2" type="noConversion"/>
  </si>
  <si>
    <t>주여원</t>
    <phoneticPr fontId="2" type="noConversion"/>
  </si>
  <si>
    <t>사원</t>
    <phoneticPr fontId="2" type="noConversion"/>
  </si>
  <si>
    <t>T180276</t>
    <phoneticPr fontId="2" type="noConversion"/>
  </si>
  <si>
    <t>사직</t>
    <phoneticPr fontId="2" type="noConversion"/>
  </si>
  <si>
    <t>정비본부 품질심사원 임면 현황</t>
    <phoneticPr fontId="2" type="noConversion"/>
  </si>
  <si>
    <t>이재균</t>
    <phoneticPr fontId="2" type="noConversion"/>
  </si>
  <si>
    <t>T180168</t>
    <phoneticPr fontId="2" type="noConversion"/>
  </si>
  <si>
    <t>KWON HYEOK</t>
    <phoneticPr fontId="2" type="noConversion"/>
  </si>
  <si>
    <t>부장</t>
    <phoneticPr fontId="2" type="noConversion"/>
  </si>
  <si>
    <t>2023.02.01</t>
    <phoneticPr fontId="2" type="noConversion"/>
  </si>
  <si>
    <t>T190193</t>
    <phoneticPr fontId="2" type="noConversion"/>
  </si>
  <si>
    <t>2023.03.27</t>
    <phoneticPr fontId="2" type="noConversion"/>
  </si>
  <si>
    <t>사직</t>
    <phoneticPr fontId="2" type="noConversion"/>
  </si>
  <si>
    <t>강사 여부</t>
    <phoneticPr fontId="2" type="noConversion"/>
  </si>
  <si>
    <t>O</t>
    <phoneticPr fontId="2" type="noConversion"/>
  </si>
  <si>
    <t>2023.04.10</t>
    <phoneticPr fontId="2" type="noConversion"/>
  </si>
  <si>
    <t>부서이동</t>
    <phoneticPr fontId="2" type="noConversion"/>
  </si>
  <si>
    <t>품 품질보증팀 2023 -2366</t>
    <phoneticPr fontId="2" type="noConversion"/>
  </si>
  <si>
    <t>CHOI BYUNG GEUN</t>
    <phoneticPr fontId="2" type="noConversion"/>
  </si>
  <si>
    <t>대리</t>
    <phoneticPr fontId="2" type="noConversion"/>
  </si>
  <si>
    <t>2023.09.05</t>
    <phoneticPr fontId="2" type="noConversion"/>
  </si>
  <si>
    <t>박현</t>
    <phoneticPr fontId="2" type="noConversion"/>
  </si>
  <si>
    <t>김한민</t>
    <phoneticPr fontId="2" type="noConversion"/>
  </si>
  <si>
    <t>KIM HAN MIN</t>
    <phoneticPr fontId="2" type="noConversion"/>
  </si>
  <si>
    <t>T230004</t>
    <phoneticPr fontId="2" type="noConversion"/>
  </si>
  <si>
    <t>T180479</t>
    <phoneticPr fontId="2" type="noConversion"/>
  </si>
  <si>
    <t>PARK HYUN</t>
    <phoneticPr fontId="2" type="noConversion"/>
  </si>
  <si>
    <t>품 AM2023-433</t>
    <phoneticPr fontId="2" type="noConversion"/>
  </si>
  <si>
    <t>심사원</t>
    <phoneticPr fontId="2" type="noConversion"/>
  </si>
  <si>
    <t>심사이력</t>
    <phoneticPr fontId="2" type="noConversion"/>
  </si>
  <si>
    <t>대상</t>
    <phoneticPr fontId="2" type="noConversion"/>
  </si>
  <si>
    <t>일자</t>
    <phoneticPr fontId="2" type="noConversion"/>
  </si>
  <si>
    <t>일자</t>
    <phoneticPr fontId="2" type="noConversion"/>
  </si>
  <si>
    <t>청주주재정비반</t>
    <phoneticPr fontId="2" type="noConversion"/>
  </si>
  <si>
    <t>GEOWS(ENG)</t>
    <phoneticPr fontId="2" type="noConversion"/>
  </si>
  <si>
    <t>GEOWS(ENG)</t>
    <phoneticPr fontId="2" type="noConversion"/>
  </si>
  <si>
    <t>2023-05-30~06-01</t>
    <phoneticPr fontId="2" type="noConversion"/>
  </si>
  <si>
    <t>GEOWS(ENG)</t>
    <phoneticPr fontId="2" type="noConversion"/>
  </si>
  <si>
    <t>강경복</t>
    <phoneticPr fontId="2" type="noConversion"/>
  </si>
  <si>
    <t>광주주재정비반</t>
    <phoneticPr fontId="2" type="noConversion"/>
  </si>
  <si>
    <t>대구주재정비반</t>
    <phoneticPr fontId="2" type="noConversion"/>
  </si>
  <si>
    <t>최수연</t>
    <phoneticPr fontId="2" type="noConversion"/>
  </si>
  <si>
    <t>정비기술팀(당시)</t>
    <phoneticPr fontId="2" type="noConversion"/>
  </si>
  <si>
    <t>2021-06-28~29</t>
    <phoneticPr fontId="2" type="noConversion"/>
  </si>
  <si>
    <t>운항정비팀</t>
    <phoneticPr fontId="2" type="noConversion"/>
  </si>
  <si>
    <t>2022-02-15~16</t>
    <phoneticPr fontId="2" type="noConversion"/>
  </si>
  <si>
    <t>정비자재팀</t>
    <phoneticPr fontId="2" type="noConversion"/>
  </si>
  <si>
    <t>두천산업</t>
    <phoneticPr fontId="2" type="noConversion"/>
  </si>
  <si>
    <t>CTS주재정비반</t>
    <phoneticPr fontId="2" type="noConversion"/>
  </si>
  <si>
    <t>2023-03-27~29</t>
    <phoneticPr fontId="2" type="noConversion"/>
  </si>
  <si>
    <t>NRT주재정비반</t>
    <phoneticPr fontId="2" type="noConversion"/>
  </si>
  <si>
    <t>2022-12-12~13</t>
    <phoneticPr fontId="2" type="noConversion"/>
  </si>
  <si>
    <t>정비통제팀</t>
    <phoneticPr fontId="2" type="noConversion"/>
  </si>
  <si>
    <t>-</t>
    <phoneticPr fontId="2" type="noConversion"/>
  </si>
  <si>
    <t>GE AES(ENG)</t>
    <phoneticPr fontId="2" type="noConversion"/>
  </si>
  <si>
    <t>2023-06-06~08</t>
    <phoneticPr fontId="2" type="noConversion"/>
  </si>
  <si>
    <t>AMECO(CTU-A/C)</t>
    <phoneticPr fontId="2" type="noConversion"/>
  </si>
  <si>
    <t>2023-10-09~11</t>
    <phoneticPr fontId="2" type="noConversion"/>
  </si>
  <si>
    <t>STK(A/C)</t>
    <phoneticPr fontId="2" type="noConversion"/>
  </si>
  <si>
    <t>2023-11-27~29</t>
    <phoneticPr fontId="2" type="noConversion"/>
  </si>
  <si>
    <t>유준열</t>
    <phoneticPr fontId="2" type="noConversion"/>
  </si>
  <si>
    <t>정비자재팀</t>
    <phoneticPr fontId="2" type="noConversion"/>
  </si>
  <si>
    <t>정비기획팀</t>
    <phoneticPr fontId="2" type="noConversion"/>
  </si>
  <si>
    <t>SIN주재정비반</t>
    <phoneticPr fontId="2" type="noConversion"/>
  </si>
  <si>
    <t>2022-12-04~07</t>
    <phoneticPr fontId="2" type="noConversion"/>
  </si>
  <si>
    <t>SIAEC-SIN
(운항위탁)</t>
    <phoneticPr fontId="2" type="noConversion"/>
  </si>
  <si>
    <t>2023-06-25~28</t>
    <phoneticPr fontId="2" type="noConversion"/>
  </si>
  <si>
    <t>-</t>
    <phoneticPr fontId="2" type="noConversion"/>
  </si>
  <si>
    <t>PAPAS-HKG
(운항위탁),
HAESL(ENG)</t>
    <phoneticPr fontId="2" type="noConversion"/>
  </si>
  <si>
    <t>2023-10-23~27</t>
    <phoneticPr fontId="2" type="noConversion"/>
  </si>
  <si>
    <t>AIR ASIA(A/C)</t>
    <phoneticPr fontId="2" type="noConversion"/>
  </si>
  <si>
    <t>2023-11-07~10</t>
    <phoneticPr fontId="2" type="noConversion"/>
  </si>
  <si>
    <t>최병근</t>
    <phoneticPr fontId="2" type="noConversion"/>
  </si>
  <si>
    <t>부품수리반</t>
    <phoneticPr fontId="2" type="noConversion"/>
  </si>
  <si>
    <t>KAEMS</t>
    <phoneticPr fontId="2" type="noConversion"/>
  </si>
  <si>
    <t>2023-02-06~08</t>
    <phoneticPr fontId="2" type="noConversion"/>
  </si>
  <si>
    <t>SGN주재정비반</t>
    <phoneticPr fontId="2" type="noConversion"/>
  </si>
  <si>
    <t>2022-11-10~11</t>
    <phoneticPr fontId="2" type="noConversion"/>
  </si>
  <si>
    <t>광주주재정비반</t>
    <phoneticPr fontId="2" type="noConversion"/>
  </si>
  <si>
    <t>GEOWS(ENG)</t>
    <phoneticPr fontId="2" type="noConversion"/>
  </si>
  <si>
    <t>2023-05-30~06-01</t>
    <phoneticPr fontId="2" type="noConversion"/>
  </si>
  <si>
    <t>두천산업</t>
    <phoneticPr fontId="2" type="noConversion"/>
  </si>
  <si>
    <t>CHINA AIRLINES
(운항위탁)</t>
    <phoneticPr fontId="2" type="noConversion"/>
  </si>
  <si>
    <t>2023-07-18~20</t>
    <phoneticPr fontId="2" type="noConversion"/>
  </si>
  <si>
    <t>CXR주재정비반</t>
    <phoneticPr fontId="2" type="noConversion"/>
  </si>
  <si>
    <t>2023-08-28~30</t>
    <phoneticPr fontId="2" type="noConversion"/>
  </si>
  <si>
    <t>VAECO-CXR
(운항위탁)</t>
    <phoneticPr fontId="2" type="noConversion"/>
  </si>
  <si>
    <t>MIAT(A/C)</t>
    <phoneticPr fontId="2" type="noConversion"/>
  </si>
  <si>
    <t>2023-09-11~13</t>
    <phoneticPr fontId="2" type="noConversion"/>
  </si>
  <si>
    <t>AIR ASIA
(운항위탁)</t>
    <phoneticPr fontId="2" type="noConversion"/>
  </si>
  <si>
    <t>권혁</t>
    <phoneticPr fontId="2" type="noConversion"/>
  </si>
  <si>
    <t>운항정비팀</t>
    <phoneticPr fontId="2" type="noConversion"/>
  </si>
  <si>
    <t>2022-02-15~16</t>
    <phoneticPr fontId="2" type="noConversion"/>
  </si>
  <si>
    <t>2023-02-09~10</t>
    <phoneticPr fontId="2" type="noConversion"/>
  </si>
  <si>
    <t>SIAEC-SIN
(A/C, 운항위탁)-서류</t>
    <phoneticPr fontId="2" type="noConversion"/>
  </si>
  <si>
    <t>TG-BKK
(운항위탁)-서류</t>
    <phoneticPr fontId="2" type="noConversion"/>
  </si>
  <si>
    <t>GMF(A/C)-서류</t>
    <phoneticPr fontId="2" type="noConversion"/>
  </si>
  <si>
    <t>GMF(A/C, ENG)</t>
    <phoneticPr fontId="2" type="noConversion"/>
  </si>
  <si>
    <t>2023-03-13~17</t>
    <phoneticPr fontId="2" type="noConversion"/>
  </si>
  <si>
    <t>GUM주재정비반-서류</t>
    <phoneticPr fontId="2" type="noConversion"/>
  </si>
  <si>
    <t>2022-09-02~06</t>
    <phoneticPr fontId="2" type="noConversion"/>
  </si>
  <si>
    <t>청주주재정비반</t>
    <phoneticPr fontId="2" type="noConversion"/>
  </si>
  <si>
    <t>VAECO-DAD
(운항위탁)</t>
    <phoneticPr fontId="2" type="noConversion"/>
  </si>
  <si>
    <t>2022-09-22~24</t>
    <phoneticPr fontId="2" type="noConversion"/>
  </si>
  <si>
    <t>HNA Aviation-HAK, SYX
(운항위탁)</t>
    <phoneticPr fontId="2" type="noConversion"/>
  </si>
  <si>
    <t>2023-05-29~06-02</t>
    <phoneticPr fontId="2" type="noConversion"/>
  </si>
  <si>
    <t>부산주재정비반</t>
    <phoneticPr fontId="2" type="noConversion"/>
  </si>
  <si>
    <t>FUK주재정비반</t>
    <phoneticPr fontId="2" type="noConversion"/>
  </si>
  <si>
    <t>2022-11-23~25</t>
    <phoneticPr fontId="2" type="noConversion"/>
  </si>
  <si>
    <t>엔진기술팀</t>
    <phoneticPr fontId="2" type="noConversion"/>
  </si>
  <si>
    <t>2023-07-24~25</t>
    <phoneticPr fontId="2" type="noConversion"/>
  </si>
  <si>
    <t>JAL-FUK
(운항위탁)</t>
    <phoneticPr fontId="2" type="noConversion"/>
  </si>
  <si>
    <t>항공기기술팀</t>
    <phoneticPr fontId="2" type="noConversion"/>
  </si>
  <si>
    <t>2023-08-18~21</t>
    <phoneticPr fontId="2" type="noConversion"/>
  </si>
  <si>
    <t>STATCO(ENG)</t>
    <phoneticPr fontId="2" type="noConversion"/>
  </si>
  <si>
    <t>2023-08-21~23</t>
    <phoneticPr fontId="2" type="noConversion"/>
  </si>
  <si>
    <t>STEA ENG</t>
    <phoneticPr fontId="2" type="noConversion"/>
  </si>
  <si>
    <t>이재균</t>
    <phoneticPr fontId="2" type="noConversion"/>
  </si>
  <si>
    <t>2023-04-25~26</t>
    <phoneticPr fontId="2" type="noConversion"/>
  </si>
  <si>
    <t>고암에이스</t>
    <phoneticPr fontId="2" type="noConversion"/>
  </si>
  <si>
    <t>김한민</t>
    <phoneticPr fontId="2" type="noConversion"/>
  </si>
  <si>
    <t>순번</t>
    <phoneticPr fontId="2" type="noConversion"/>
  </si>
  <si>
    <t>성명</t>
    <phoneticPr fontId="2" type="noConversion"/>
  </si>
  <si>
    <t>직위</t>
    <phoneticPr fontId="2" type="noConversion"/>
  </si>
  <si>
    <t>사번</t>
    <phoneticPr fontId="2" type="noConversion"/>
  </si>
  <si>
    <t>임명일자</t>
    <phoneticPr fontId="2" type="noConversion"/>
  </si>
  <si>
    <t>관련근거</t>
    <phoneticPr fontId="2" type="noConversion"/>
  </si>
  <si>
    <t>교육</t>
    <phoneticPr fontId="2" type="noConversion"/>
  </si>
  <si>
    <t>교육 / 보수 (Interval : 2Y)</t>
    <phoneticPr fontId="2" type="noConversion"/>
  </si>
  <si>
    <t>교육 이력</t>
    <phoneticPr fontId="2" type="noConversion"/>
  </si>
  <si>
    <t>한글</t>
    <phoneticPr fontId="2" type="noConversion"/>
  </si>
  <si>
    <t>영문</t>
    <phoneticPr fontId="2" type="noConversion"/>
  </si>
  <si>
    <t>초도</t>
    <phoneticPr fontId="2" type="noConversion"/>
  </si>
  <si>
    <t>최종</t>
    <phoneticPr fontId="2" type="noConversion"/>
  </si>
  <si>
    <t>임주한</t>
    <phoneticPr fontId="2" type="noConversion"/>
  </si>
  <si>
    <t>IM JU HAN</t>
    <phoneticPr fontId="2" type="noConversion"/>
  </si>
  <si>
    <t>부장</t>
    <phoneticPr fontId="2" type="noConversion"/>
  </si>
  <si>
    <t>T150060</t>
    <phoneticPr fontId="2" type="noConversion"/>
  </si>
  <si>
    <t>2016.02.01</t>
    <phoneticPr fontId="2" type="noConversion"/>
  </si>
  <si>
    <t>품AM2016-073</t>
    <phoneticPr fontId="2" type="noConversion"/>
  </si>
  <si>
    <t>ISO9001 내부심사원 양성 교육</t>
    <phoneticPr fontId="2" type="noConversion"/>
  </si>
  <si>
    <t>2016-12-13</t>
    <phoneticPr fontId="2" type="noConversion"/>
  </si>
  <si>
    <t>2017-12-28</t>
    <phoneticPr fontId="2" type="noConversion"/>
  </si>
  <si>
    <t>2019-12-12</t>
    <phoneticPr fontId="2" type="noConversion"/>
  </si>
  <si>
    <t>2023-10-12</t>
    <phoneticPr fontId="2" type="noConversion"/>
  </si>
  <si>
    <t>원대연</t>
    <phoneticPr fontId="2" type="noConversion"/>
  </si>
  <si>
    <t>WON DAE YEON</t>
    <phoneticPr fontId="2" type="noConversion"/>
  </si>
  <si>
    <t>T200001</t>
    <phoneticPr fontId="2" type="noConversion"/>
  </si>
  <si>
    <t>2020.02.03</t>
    <phoneticPr fontId="2" type="noConversion"/>
  </si>
  <si>
    <t>품 AM2020-067</t>
    <phoneticPr fontId="2" type="noConversion"/>
  </si>
  <si>
    <t>티웨이항공 내부 품질심사원 교육</t>
    <phoneticPr fontId="2" type="noConversion"/>
  </si>
  <si>
    <t>박병권</t>
    <phoneticPr fontId="2" type="noConversion"/>
  </si>
  <si>
    <t>PARK BYOUNG KWON</t>
    <phoneticPr fontId="2" type="noConversion"/>
  </si>
  <si>
    <t>대리</t>
    <phoneticPr fontId="2" type="noConversion"/>
  </si>
  <si>
    <t>T160098</t>
    <phoneticPr fontId="2" type="noConversion"/>
  </si>
  <si>
    <t>2019.03.14</t>
    <phoneticPr fontId="2" type="noConversion"/>
  </si>
  <si>
    <t>품 AM2019-151</t>
    <phoneticPr fontId="2" type="noConversion"/>
  </si>
  <si>
    <t>2019-03-14</t>
    <phoneticPr fontId="2" type="noConversion"/>
  </si>
  <si>
    <t>2021-05-10</t>
    <phoneticPr fontId="2" type="noConversion"/>
  </si>
  <si>
    <t>2023-05-12</t>
    <phoneticPr fontId="2" type="noConversion"/>
  </si>
  <si>
    <t>신영웅</t>
    <phoneticPr fontId="2" type="noConversion"/>
  </si>
  <si>
    <t>SHIN YEONG UNG</t>
    <phoneticPr fontId="2" type="noConversion"/>
  </si>
  <si>
    <t>T170019</t>
    <phoneticPr fontId="2" type="noConversion"/>
  </si>
  <si>
    <t>임동민</t>
    <phoneticPr fontId="2" type="noConversion"/>
  </si>
  <si>
    <t>LIM DONG MIN</t>
    <phoneticPr fontId="2" type="noConversion"/>
  </si>
  <si>
    <t>과장</t>
    <phoneticPr fontId="2" type="noConversion"/>
  </si>
  <si>
    <t>T160301</t>
    <phoneticPr fontId="2" type="noConversion"/>
  </si>
  <si>
    <t>2021.01.27</t>
    <phoneticPr fontId="2" type="noConversion"/>
  </si>
  <si>
    <t>품 AM2021-033</t>
    <phoneticPr fontId="2" type="noConversion"/>
  </si>
  <si>
    <t>강경복</t>
    <phoneticPr fontId="2" type="noConversion"/>
  </si>
  <si>
    <t>KANG GYEONG BOK</t>
    <phoneticPr fontId="2" type="noConversion"/>
  </si>
  <si>
    <t>T160383</t>
    <phoneticPr fontId="2" type="noConversion"/>
  </si>
  <si>
    <t>2021.04.07</t>
    <phoneticPr fontId="2" type="noConversion"/>
  </si>
  <si>
    <t>품 AM2021-086</t>
    <phoneticPr fontId="2" type="noConversion"/>
  </si>
  <si>
    <t>2023-04-05</t>
    <phoneticPr fontId="2" type="noConversion"/>
  </si>
  <si>
    <t>최수연</t>
    <phoneticPr fontId="2" type="noConversion"/>
  </si>
  <si>
    <t>CHOI SOO YOUN</t>
    <phoneticPr fontId="2" type="noConversion"/>
  </si>
  <si>
    <t>T180187</t>
    <phoneticPr fontId="2" type="noConversion"/>
  </si>
  <si>
    <t>2021.05.14</t>
    <phoneticPr fontId="2" type="noConversion"/>
  </si>
  <si>
    <t>품 AM2021-117</t>
    <phoneticPr fontId="2" type="noConversion"/>
  </si>
  <si>
    <t>유준열</t>
    <phoneticPr fontId="2" type="noConversion"/>
  </si>
  <si>
    <t>YOU JUN YEOL</t>
    <phoneticPr fontId="2" type="noConversion"/>
  </si>
  <si>
    <t>사원</t>
    <phoneticPr fontId="2" type="noConversion"/>
  </si>
  <si>
    <t>T180261</t>
    <phoneticPr fontId="2" type="noConversion"/>
  </si>
  <si>
    <t>2021.12.01</t>
    <phoneticPr fontId="2" type="noConversion"/>
  </si>
  <si>
    <t>품 AM2021-326</t>
    <phoneticPr fontId="2" type="noConversion"/>
  </si>
  <si>
    <t>최병근</t>
    <phoneticPr fontId="2" type="noConversion"/>
  </si>
  <si>
    <t>CHOI BYUNG GEUN</t>
    <phoneticPr fontId="2" type="noConversion"/>
  </si>
  <si>
    <t>T180476</t>
    <phoneticPr fontId="2" type="noConversion"/>
  </si>
  <si>
    <t>권혁</t>
    <phoneticPr fontId="2" type="noConversion"/>
  </si>
  <si>
    <t>KWON HYEOK</t>
    <phoneticPr fontId="2" type="noConversion"/>
  </si>
  <si>
    <t>T180169</t>
    <phoneticPr fontId="2" type="noConversion"/>
  </si>
  <si>
    <t>2021.12.27</t>
    <phoneticPr fontId="2" type="noConversion"/>
  </si>
  <si>
    <t>품 AM2021-358</t>
    <phoneticPr fontId="2" type="noConversion"/>
  </si>
  <si>
    <t>이재균</t>
    <phoneticPr fontId="2" type="noConversion"/>
  </si>
  <si>
    <t>LEE JAE GYUN</t>
    <phoneticPr fontId="2" type="noConversion"/>
  </si>
  <si>
    <t>T180168</t>
    <phoneticPr fontId="2" type="noConversion"/>
  </si>
  <si>
    <t>2022.10.24</t>
    <phoneticPr fontId="2" type="noConversion"/>
  </si>
  <si>
    <t>품 AM2022-395</t>
    <phoneticPr fontId="2" type="noConversion"/>
  </si>
  <si>
    <t>-</t>
    <phoneticPr fontId="2" type="noConversion"/>
  </si>
  <si>
    <t>박현</t>
    <phoneticPr fontId="2" type="noConversion"/>
  </si>
  <si>
    <t>PARK HYUN</t>
    <phoneticPr fontId="2" type="noConversion"/>
  </si>
  <si>
    <t>T180479</t>
    <phoneticPr fontId="2" type="noConversion"/>
  </si>
  <si>
    <t>2023.11.06</t>
    <phoneticPr fontId="2" type="noConversion"/>
  </si>
  <si>
    <t>품 AM2023-433</t>
    <phoneticPr fontId="2" type="noConversion"/>
  </si>
  <si>
    <t>김한민</t>
    <phoneticPr fontId="2" type="noConversion"/>
  </si>
  <si>
    <t>KIM HAN MIN</t>
    <phoneticPr fontId="2" type="noConversion"/>
  </si>
  <si>
    <t>T230004</t>
    <phoneticPr fontId="2" type="noConversion"/>
  </si>
  <si>
    <t>품 AM2023-433</t>
    <phoneticPr fontId="2" type="noConversion"/>
  </si>
  <si>
    <t>품질심사원의 품질심사 경력 (24.01.XX 기준) 현황</t>
    <phoneticPr fontId="2" type="noConversion"/>
  </si>
  <si>
    <t>이진성</t>
    <phoneticPr fontId="2" type="noConversion"/>
  </si>
  <si>
    <t>T160291</t>
    <phoneticPr fontId="2" type="noConversion"/>
  </si>
  <si>
    <t>LEE JIN SUNG</t>
    <phoneticPr fontId="2" type="noConversion"/>
  </si>
  <si>
    <t>품 AM2024-033</t>
    <phoneticPr fontId="2" type="noConversion"/>
  </si>
  <si>
    <t>초도교육</t>
    <phoneticPr fontId="2" type="noConversion"/>
  </si>
  <si>
    <t>보수교육</t>
    <phoneticPr fontId="2" type="noConversion"/>
  </si>
  <si>
    <t>초도평가</t>
    <phoneticPr fontId="2" type="noConversion"/>
  </si>
  <si>
    <t>최종평가</t>
    <phoneticPr fontId="2" type="noConversion"/>
  </si>
  <si>
    <t>2024.07.08</t>
    <phoneticPr fontId="2" type="noConversion"/>
  </si>
  <si>
    <t>업무변경</t>
    <phoneticPr fontId="2" type="noConversion"/>
  </si>
  <si>
    <t>운항정비팀(김포)</t>
    <phoneticPr fontId="2" type="noConversion"/>
  </si>
  <si>
    <t>운항정비팀(인천)</t>
    <phoneticPr fontId="2" type="noConversion"/>
  </si>
  <si>
    <t>김해지점</t>
    <phoneticPr fontId="2" type="noConversion"/>
  </si>
  <si>
    <t>청주지점</t>
    <phoneticPr fontId="2" type="noConversion"/>
  </si>
  <si>
    <t>Sharp Technics K</t>
    <phoneticPr fontId="2" type="noConversion"/>
  </si>
  <si>
    <t>2021-11-23~25</t>
    <phoneticPr fontId="2" type="noConversion"/>
  </si>
  <si>
    <t>정비기술팀</t>
    <phoneticPr fontId="2" type="noConversion"/>
  </si>
  <si>
    <t>양양지점</t>
    <phoneticPr fontId="2" type="noConversion"/>
  </si>
  <si>
    <t>2021-01-27~29</t>
    <phoneticPr fontId="2" type="noConversion"/>
  </si>
  <si>
    <t>자재보급팀</t>
    <phoneticPr fontId="2" type="noConversion"/>
  </si>
  <si>
    <t>SIAEC</t>
    <phoneticPr fontId="2" type="noConversion"/>
  </si>
  <si>
    <t>2022-12-05~06</t>
    <phoneticPr fontId="2" type="noConversion"/>
  </si>
  <si>
    <t>2022-09-22~23</t>
    <phoneticPr fontId="2" type="noConversion"/>
  </si>
  <si>
    <t>SIAEC(서류)</t>
    <phoneticPr fontId="2" type="noConversion"/>
  </si>
  <si>
    <t>GMF(서류)</t>
    <phoneticPr fontId="2" type="noConversion"/>
  </si>
  <si>
    <t>2022-07-13~16</t>
    <phoneticPr fontId="2" type="noConversion"/>
  </si>
  <si>
    <t>2022-11-15~17</t>
    <phoneticPr fontId="2" type="noConversion"/>
  </si>
  <si>
    <t>2022-03-224</t>
    <phoneticPr fontId="2" type="noConversion"/>
  </si>
  <si>
    <t>KLO지점</t>
    <phoneticPr fontId="2" type="noConversion"/>
  </si>
  <si>
    <t>2022-09-14~16</t>
    <phoneticPr fontId="2" type="noConversion"/>
  </si>
  <si>
    <t>SYD지점</t>
    <phoneticPr fontId="2" type="noConversion"/>
  </si>
  <si>
    <t>2023-02-21~23</t>
    <phoneticPr fontId="2" type="noConversion"/>
  </si>
  <si>
    <t>TG(BKK)</t>
    <phoneticPr fontId="2" type="noConversion"/>
  </si>
  <si>
    <t>VAECO(DAD)</t>
    <phoneticPr fontId="2" type="noConversion"/>
  </si>
  <si>
    <t>OKA지점</t>
    <phoneticPr fontId="2" type="noConversion"/>
  </si>
  <si>
    <t>2023-03-21~22</t>
    <phoneticPr fontId="2" type="noConversion"/>
  </si>
  <si>
    <t>2023-02-23~23</t>
    <phoneticPr fontId="2" type="noConversion"/>
  </si>
  <si>
    <t>Cathay Pacific(SYD)</t>
    <phoneticPr fontId="2" type="noConversion"/>
  </si>
  <si>
    <t>PAPAS(HKG)</t>
    <phoneticPr fontId="2" type="noConversion"/>
  </si>
  <si>
    <t>2023-10-23~25</t>
    <phoneticPr fontId="2" type="noConversion"/>
  </si>
  <si>
    <t>VAECO(CXR)</t>
    <phoneticPr fontId="2" type="noConversion"/>
  </si>
  <si>
    <t>HAESL(ENG)</t>
    <phoneticPr fontId="2" type="noConversion"/>
  </si>
  <si>
    <t>2023-10-25~27</t>
    <phoneticPr fontId="2" type="noConversion"/>
  </si>
  <si>
    <t>China Airlines(KHH)</t>
    <phoneticPr fontId="2" type="noConversion"/>
  </si>
  <si>
    <t>2023-07-19~20</t>
    <phoneticPr fontId="2" type="noConversion"/>
  </si>
  <si>
    <t>ST Engineering</t>
    <phoneticPr fontId="2" type="noConversion"/>
  </si>
  <si>
    <t>AMECO(CTU)</t>
    <phoneticPr fontId="2" type="noConversion"/>
  </si>
  <si>
    <t>CNX지점</t>
    <phoneticPr fontId="2" type="noConversion"/>
  </si>
  <si>
    <t>2023-02-15~17</t>
    <phoneticPr fontId="2" type="noConversion"/>
  </si>
  <si>
    <t>SIAEC(SIN)</t>
    <phoneticPr fontId="2" type="noConversion"/>
  </si>
  <si>
    <t>2023-06-26~27</t>
    <phoneticPr fontId="2" type="noConversion"/>
  </si>
  <si>
    <t>HNA Aviation Technic(SYX)</t>
    <phoneticPr fontId="2" type="noConversion"/>
  </si>
  <si>
    <t>HNA Aviation Technic(HAK)</t>
    <phoneticPr fontId="2" type="noConversion"/>
  </si>
  <si>
    <t>2023-05-28~29</t>
    <phoneticPr fontId="2" type="noConversion"/>
  </si>
  <si>
    <t>2023-05-31~06-01</t>
    <phoneticPr fontId="2" type="noConversion"/>
  </si>
  <si>
    <t>STAECO(ENG)</t>
    <phoneticPr fontId="2" type="noConversion"/>
  </si>
  <si>
    <t>2023-08-20~22</t>
    <phoneticPr fontId="2" type="noConversion"/>
  </si>
  <si>
    <t>2023-08-18, 21</t>
    <phoneticPr fontId="2" type="noConversion"/>
  </si>
  <si>
    <t>부품수리파트</t>
    <phoneticPr fontId="2" type="noConversion"/>
  </si>
  <si>
    <t>GUM지점</t>
    <phoneticPr fontId="2" type="noConversion"/>
  </si>
  <si>
    <t>GMF(CGK)</t>
    <phoneticPr fontId="2" type="noConversion"/>
  </si>
  <si>
    <t>2023-03-14~17</t>
    <phoneticPr fontId="2" type="noConversion"/>
  </si>
  <si>
    <t>GE Aircraft Engine Services</t>
    <phoneticPr fontId="2" type="noConversion"/>
  </si>
  <si>
    <t>2023-06-04~11</t>
    <phoneticPr fontId="2" type="noConversion"/>
  </si>
  <si>
    <t>MIAT(UBN)</t>
    <phoneticPr fontId="2" type="noConversion"/>
  </si>
  <si>
    <t>보수교육 미수료</t>
    <phoneticPr fontId="2" type="noConversion"/>
  </si>
  <si>
    <t>2024.11.29</t>
    <phoneticPr fontId="2" type="noConversion"/>
  </si>
  <si>
    <t>2025.02.01</t>
    <phoneticPr fontId="2" type="noConversion"/>
  </si>
  <si>
    <t>이치규</t>
    <phoneticPr fontId="2" type="noConversion"/>
  </si>
  <si>
    <t>LEE CHI GYU</t>
    <phoneticPr fontId="2" type="noConversion"/>
  </si>
  <si>
    <t>부장</t>
    <phoneticPr fontId="2" type="noConversion"/>
  </si>
  <si>
    <t>T220010</t>
    <phoneticPr fontId="2" type="noConversion"/>
  </si>
  <si>
    <t>품 AM2025-289</t>
    <phoneticPr fontId="2" type="noConversion"/>
  </si>
  <si>
    <t>최문성</t>
    <phoneticPr fontId="2" type="noConversion"/>
  </si>
  <si>
    <t>김주원</t>
    <phoneticPr fontId="2" type="noConversion"/>
  </si>
  <si>
    <t>CHOI MOON SUNG</t>
    <phoneticPr fontId="2" type="noConversion"/>
  </si>
  <si>
    <t>KIM JU WON</t>
    <phoneticPr fontId="2" type="noConversion"/>
  </si>
  <si>
    <t>T220044</t>
    <phoneticPr fontId="2" type="noConversion"/>
  </si>
  <si>
    <t>T180496</t>
    <phoneticPr fontId="2" type="noConversion"/>
  </si>
  <si>
    <t>품 AM2025-381</t>
    <phoneticPr fontId="2" type="noConversion"/>
  </si>
  <si>
    <t>정비부문 품질심사원 현황</t>
    <phoneticPr fontId="2" type="noConversion"/>
  </si>
  <si>
    <t>박영일</t>
    <phoneticPr fontId="2" type="noConversion"/>
  </si>
  <si>
    <t>PARK YOUNG IL</t>
    <phoneticPr fontId="2" type="noConversion"/>
  </si>
  <si>
    <t>CM</t>
    <phoneticPr fontId="2" type="noConversion"/>
  </si>
  <si>
    <t>2026.01.27</t>
    <phoneticPr fontId="2" type="noConversion"/>
  </si>
  <si>
    <t>-</t>
    <phoneticPr fontId="2" type="noConversion"/>
  </si>
  <si>
    <t>-</t>
    <phoneticPr fontId="2" type="noConversion"/>
  </si>
  <si>
    <t>SM</t>
    <phoneticPr fontId="2" type="noConversion"/>
  </si>
  <si>
    <t>Manager</t>
    <phoneticPr fontId="2" type="noConversion"/>
  </si>
  <si>
    <t>유진우</t>
    <phoneticPr fontId="2" type="noConversion"/>
  </si>
  <si>
    <t>곽성주</t>
    <phoneticPr fontId="2" type="noConversion"/>
  </si>
  <si>
    <t>YOO JIN WOO</t>
    <phoneticPr fontId="2" type="noConversion"/>
  </si>
  <si>
    <t>T220180</t>
    <phoneticPr fontId="2" type="noConversion"/>
  </si>
  <si>
    <t>T250286</t>
    <phoneticPr fontId="2" type="noConversion"/>
  </si>
  <si>
    <t>품 인사 2026-0725</t>
    <phoneticPr fontId="2" type="noConversion"/>
  </si>
  <si>
    <t>T220007</t>
    <phoneticPr fontId="2" type="noConversion"/>
  </si>
  <si>
    <t>KWAK SUNG JOO</t>
    <phoneticPr fontId="2" type="noConversion"/>
  </si>
  <si>
    <t>김지훈</t>
    <phoneticPr fontId="2" type="noConversion"/>
  </si>
  <si>
    <t>안민형</t>
    <phoneticPr fontId="2" type="noConversion"/>
  </si>
  <si>
    <t>ANH MIN HYUNG</t>
    <phoneticPr fontId="2" type="noConversion"/>
  </si>
  <si>
    <t>인사운영(시품)
제2026-0112호</t>
    <phoneticPr fontId="2" type="noConversion"/>
  </si>
  <si>
    <t>T130001</t>
    <phoneticPr fontId="2" type="noConversion"/>
  </si>
  <si>
    <t>T180267</t>
    <phoneticPr fontId="2" type="noConversion"/>
  </si>
  <si>
    <t>YANG WON</t>
    <phoneticPr fontId="2" type="noConversion"/>
  </si>
  <si>
    <t>KIM JI HUN</t>
    <phoneticPr fontId="2" type="noConversion"/>
  </si>
  <si>
    <t>송동훈</t>
  </si>
  <si>
    <t>SONG DONG HUN</t>
  </si>
  <si>
    <t>T240952</t>
  </si>
  <si>
    <t>품 AM2025-289</t>
  </si>
  <si>
    <t>티웨이항공 내부 품질심사원 교육</t>
  </si>
  <si>
    <t>EM</t>
    <phoneticPr fontId="2" type="noConversion"/>
  </si>
  <si>
    <t>SM</t>
    <phoneticPr fontId="2" type="noConversion"/>
  </si>
  <si>
    <t>OJT 실시여부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</si>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</sst>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b/>
      <u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ouble">
        <color rgb="FFFF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11" fillId="0" borderId="0"/>
    <xf numFmtId="0" fontId="1" fillId="0" borderId="0">
      <alignment vertical="center"/>
    </xf>
  </cellStyleXfs>
  <cellXfs count="114">
    <xf numFmtId="0" fontId="0" fillId="0" borderId="0" xfId="0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14" fontId="0" fillId="0" borderId="11" xfId="0" quotePrefix="1" applyNumberForma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6" fillId="0" borderId="0" xfId="0" applyFont="1">
      <alignment vertical="center"/>
    </xf>
    <xf numFmtId="14" fontId="0" fillId="0" borderId="2" xfId="0" quotePrefix="1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3" fillId="0" borderId="1" xfId="0" applyFont="1" applyBorder="1" applyAlignment="1"/>
    <xf numFmtId="0" fontId="4" fillId="0" borderId="0" xfId="0" applyFo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0" borderId="0" xfId="3">
      <alignment vertical="center"/>
    </xf>
    <xf numFmtId="0" fontId="13" fillId="8" borderId="2" xfId="3" applyFont="1" applyFill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14" fontId="1" fillId="0" borderId="2" xfId="3" applyNumberFormat="1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18" xfId="3" applyBorder="1" applyAlignment="1">
      <alignment horizontal="center" vertical="center"/>
    </xf>
    <xf numFmtId="14" fontId="1" fillId="0" borderId="18" xfId="3" applyNumberFormat="1" applyBorder="1" applyAlignment="1">
      <alignment horizontal="center" vertical="center"/>
    </xf>
    <xf numFmtId="0" fontId="1" fillId="0" borderId="14" xfId="3" applyBorder="1" applyAlignment="1">
      <alignment horizontal="center" vertical="center"/>
    </xf>
    <xf numFmtId="0" fontId="13" fillId="0" borderId="0" xfId="3" applyFont="1">
      <alignment vertical="center"/>
    </xf>
    <xf numFmtId="0" fontId="1" fillId="0" borderId="2" xfId="3" applyBorder="1" applyAlignment="1">
      <alignment horizontal="center" vertical="center" wrapText="1"/>
    </xf>
    <xf numFmtId="0" fontId="1" fillId="0" borderId="3" xfId="3" applyBorder="1" applyAlignment="1">
      <alignment horizontal="center" vertical="center"/>
    </xf>
    <xf numFmtId="0" fontId="1" fillId="0" borderId="3" xfId="3" applyBorder="1" applyAlignment="1">
      <alignment horizontal="center" vertical="center" wrapText="1"/>
    </xf>
    <xf numFmtId="14" fontId="1" fillId="0" borderId="3" xfId="3" applyNumberFormat="1" applyBorder="1" applyAlignment="1">
      <alignment horizontal="center" vertical="center"/>
    </xf>
    <xf numFmtId="0" fontId="1" fillId="0" borderId="15" xfId="3" applyBorder="1" applyAlignment="1">
      <alignment horizontal="center" vertical="center"/>
    </xf>
    <xf numFmtId="0" fontId="1" fillId="0" borderId="15" xfId="3" applyBorder="1" applyAlignment="1">
      <alignment horizontal="center" vertical="center" wrapText="1"/>
    </xf>
    <xf numFmtId="14" fontId="1" fillId="0" borderId="15" xfId="3" applyNumberForma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wrapText="1"/>
    </xf>
    <xf numFmtId="14" fontId="14" fillId="0" borderId="2" xfId="3" applyNumberFormat="1" applyFont="1" applyBorder="1" applyAlignment="1">
      <alignment horizontal="center" vertical="center"/>
    </xf>
    <xf numFmtId="0" fontId="14" fillId="0" borderId="18" xfId="3" applyFont="1" applyBorder="1" applyAlignment="1">
      <alignment horizontal="center" vertical="center" wrapText="1"/>
    </xf>
    <xf numFmtId="14" fontId="14" fillId="0" borderId="18" xfId="3" applyNumberFormat="1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5" xfId="0" quotePrefix="1" applyNumberForma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0" fontId="14" fillId="0" borderId="2" xfId="3" quotePrefix="1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15" fillId="2" borderId="2" xfId="0" applyFont="1" applyFill="1" applyBorder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14" fontId="8" fillId="5" borderId="2" xfId="0" applyNumberFormat="1" applyFont="1" applyFill="1" applyBorder="1" applyAlignment="1">
      <alignment horizontal="center" vertical="center" wrapText="1"/>
    </xf>
    <xf numFmtId="14" fontId="0" fillId="5" borderId="2" xfId="0" quotePrefix="1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14" fontId="0" fillId="0" borderId="2" xfId="0" quotePrefix="1" applyNumberForma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8" borderId="2" xfId="3" applyFont="1" applyFill="1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19" xfId="3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표준" xfId="0" builtinId="0"/>
    <cellStyle name="표준 2" xfId="1"/>
    <cellStyle name="표준 3" xfId="2"/>
    <cellStyle name="표준 4" xfId="3"/>
  </cellStyles>
  <dxfs count="20">
    <dxf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rgb="FFFF0000"/>
      </font>
    </dxf>
    <dxf>
      <font>
        <color rgb="FF9C0006"/>
      </font>
    </dxf>
    <dxf>
      <fill>
        <patternFill>
          <bgColor rgb="FFFFC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yyyy/mm/dd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double">
          <color rgb="FFFF0000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B3:M19" totalsRowShown="0" headerRowDxfId="19" dataDxfId="18" tableBorderDxfId="17">
  <autoFilter ref="B3:M19"/>
  <tableColumns count="12">
    <tableColumn id="1" name="성명" dataDxfId="16"/>
    <tableColumn id="2" name="영문" dataDxfId="15"/>
    <tableColumn id="3" name="직위" dataDxfId="14"/>
    <tableColumn id="4" name="사번" dataDxfId="13"/>
    <tableColumn id="5" name="임명일자" dataDxfId="12"/>
    <tableColumn id="6" name="관련근거" dataDxfId="11"/>
    <tableColumn id="7" name="교육" dataDxfId="10"/>
    <tableColumn id="8" name="초도교육" dataDxfId="9"/>
    <tableColumn id="12" name="OJT 실시여부" dataDxfId="0"/>
    <tableColumn id="9" name="보수교육" dataDxfId="8"/>
    <tableColumn id="10" name="초도평가" dataDxfId="7"/>
    <tableColumn id="11" name="최종평가" dataDxfId="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U19"/>
  <sheetViews>
    <sheetView tabSelected="1" view="pageBreakPreview" zoomScaleNormal="70" zoomScaleSheetLayoutView="100" workbookViewId="0">
      <selection activeCell="K4" sqref="K4"/>
    </sheetView>
  </sheetViews>
  <sheetFormatPr defaultRowHeight="16.5"/>
  <cols>
    <col min="3" max="3" width="21.625" customWidth="1"/>
    <col min="4" max="4" width="8.75" customWidth="1"/>
    <col min="5" max="5" width="10.25" customWidth="1"/>
    <col min="6" max="6" width="11" customWidth="1"/>
    <col min="7" max="7" width="16" style="22" customWidth="1"/>
    <col min="8" max="8" width="32" style="22" customWidth="1"/>
    <col min="9" max="17" width="15.625" customWidth="1"/>
    <col min="18" max="18" width="25.25" bestFit="1" customWidth="1"/>
    <col min="20" max="21" width="10.75" bestFit="1" customWidth="1"/>
  </cols>
  <sheetData>
    <row r="1" spans="1:21" ht="48.75" customHeight="1">
      <c r="A1" s="92" t="s">
        <v>367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33"/>
      <c r="O1" s="33"/>
      <c r="P1" s="33"/>
    </row>
    <row r="2" spans="1:21" ht="23.2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32"/>
      <c r="O2" s="93" t="s">
        <v>16</v>
      </c>
      <c r="P2" s="94"/>
      <c r="Q2" s="16"/>
    </row>
    <row r="3" spans="1:21" ht="32.25" customHeight="1">
      <c r="A3" s="72" t="s">
        <v>0</v>
      </c>
      <c r="B3" s="72" t="s">
        <v>1</v>
      </c>
      <c r="C3" s="72" t="s">
        <v>13</v>
      </c>
      <c r="D3" s="72" t="s">
        <v>2</v>
      </c>
      <c r="E3" s="72" t="s">
        <v>3</v>
      </c>
      <c r="F3" s="73" t="s">
        <v>4</v>
      </c>
      <c r="G3" s="73" t="s">
        <v>5</v>
      </c>
      <c r="H3" s="73" t="s">
        <v>36</v>
      </c>
      <c r="I3" s="74" t="s">
        <v>291</v>
      </c>
      <c r="J3" s="74" t="s">
        <v>399</v>
      </c>
      <c r="K3" s="74" t="s">
        <v>292</v>
      </c>
      <c r="L3" s="75" t="s">
        <v>293</v>
      </c>
      <c r="M3" s="75" t="s">
        <v>294</v>
      </c>
      <c r="N3" s="61"/>
      <c r="O3" s="19" t="s">
        <v>25</v>
      </c>
      <c r="P3" s="10" t="s">
        <v>26</v>
      </c>
      <c r="Q3" s="60" t="s">
        <v>90</v>
      </c>
      <c r="R3" s="17" t="s">
        <v>5</v>
      </c>
    </row>
    <row r="4" spans="1:21" ht="40.15" customHeight="1">
      <c r="A4" s="2">
        <v>1</v>
      </c>
      <c r="B4" s="76" t="s">
        <v>368</v>
      </c>
      <c r="C4" s="76" t="s">
        <v>369</v>
      </c>
      <c r="D4" s="76" t="s">
        <v>370</v>
      </c>
      <c r="E4" s="76" t="s">
        <v>380</v>
      </c>
      <c r="F4" s="77" t="s">
        <v>371</v>
      </c>
      <c r="G4" s="78" t="s">
        <v>381</v>
      </c>
      <c r="H4" s="78" t="s">
        <v>37</v>
      </c>
      <c r="I4" s="79">
        <v>46036</v>
      </c>
      <c r="J4" s="79" t="s">
        <v>400</v>
      </c>
      <c r="K4" s="79">
        <v>46036</v>
      </c>
      <c r="L4" s="81" t="s">
        <v>372</v>
      </c>
      <c r="M4" s="81" t="s">
        <v>373</v>
      </c>
      <c r="N4" s="70" t="s">
        <v>15</v>
      </c>
      <c r="O4" s="14">
        <f>EDATE(K4,24)</f>
        <v>46766</v>
      </c>
      <c r="P4" s="14" t="e">
        <f t="shared" ref="P4:P19" si="0">EDATE(M4,24)</f>
        <v>#VALUE!</v>
      </c>
      <c r="Q4" s="14"/>
      <c r="R4" s="14" t="s">
        <v>94</v>
      </c>
      <c r="T4" s="16"/>
      <c r="U4" s="16"/>
    </row>
    <row r="5" spans="1:21" ht="40.15" customHeight="1">
      <c r="A5" s="2">
        <v>2</v>
      </c>
      <c r="B5" s="76" t="s">
        <v>392</v>
      </c>
      <c r="C5" s="76" t="s">
        <v>393</v>
      </c>
      <c r="D5" s="76" t="s">
        <v>397</v>
      </c>
      <c r="E5" s="76" t="s">
        <v>394</v>
      </c>
      <c r="F5" s="77">
        <v>45827</v>
      </c>
      <c r="G5" s="78" t="s">
        <v>395</v>
      </c>
      <c r="H5" s="78" t="s">
        <v>396</v>
      </c>
      <c r="I5" s="79">
        <v>45819</v>
      </c>
      <c r="J5" s="79" t="s">
        <v>401</v>
      </c>
      <c r="K5" s="79">
        <v>45819</v>
      </c>
      <c r="L5" s="81">
        <v>45868</v>
      </c>
      <c r="M5" s="81">
        <v>45868</v>
      </c>
      <c r="N5" s="70"/>
      <c r="O5" s="14">
        <f t="shared" ref="O5" si="1">EDATE(K5,24)</f>
        <v>46549</v>
      </c>
      <c r="P5" s="14">
        <f t="shared" ref="P5" si="2">EDATE(M5,24)</f>
        <v>46598</v>
      </c>
      <c r="Q5" s="14"/>
      <c r="R5" s="14"/>
      <c r="T5" s="16"/>
      <c r="U5" s="16"/>
    </row>
    <row r="6" spans="1:21" ht="40.15" customHeight="1">
      <c r="A6" s="2">
        <v>3</v>
      </c>
      <c r="B6" s="76" t="s">
        <v>27</v>
      </c>
      <c r="C6" s="76" t="s">
        <v>32</v>
      </c>
      <c r="D6" s="76" t="s">
        <v>374</v>
      </c>
      <c r="E6" s="76" t="s">
        <v>30</v>
      </c>
      <c r="F6" s="77">
        <v>43864</v>
      </c>
      <c r="G6" s="82" t="s">
        <v>31</v>
      </c>
      <c r="H6" s="78" t="s">
        <v>37</v>
      </c>
      <c r="I6" s="77">
        <v>40981</v>
      </c>
      <c r="J6" s="77" t="s">
        <v>402</v>
      </c>
      <c r="K6" s="80">
        <v>45716</v>
      </c>
      <c r="L6" s="81">
        <v>41823</v>
      </c>
      <c r="M6" s="81">
        <v>45516</v>
      </c>
      <c r="N6" s="70"/>
      <c r="O6" s="14">
        <f t="shared" ref="O6:O19" si="3">EDATE(K6,24)</f>
        <v>46446</v>
      </c>
      <c r="P6" s="14">
        <f t="shared" si="0"/>
        <v>46246</v>
      </c>
      <c r="Q6" s="14" t="s">
        <v>91</v>
      </c>
      <c r="R6" s="14" t="s">
        <v>94</v>
      </c>
    </row>
    <row r="7" spans="1:21" ht="40.15" customHeight="1">
      <c r="A7" s="2">
        <v>4</v>
      </c>
      <c r="B7" s="83" t="s">
        <v>377</v>
      </c>
      <c r="C7" s="76" t="s">
        <v>383</v>
      </c>
      <c r="D7" s="76" t="s">
        <v>374</v>
      </c>
      <c r="E7" s="76" t="s">
        <v>382</v>
      </c>
      <c r="F7" s="77" t="s">
        <v>371</v>
      </c>
      <c r="G7" s="78" t="s">
        <v>381</v>
      </c>
      <c r="H7" s="78" t="s">
        <v>37</v>
      </c>
      <c r="I7" s="79">
        <v>46036</v>
      </c>
      <c r="J7" s="79" t="s">
        <v>403</v>
      </c>
      <c r="K7" s="79">
        <v>46036</v>
      </c>
      <c r="L7" s="81" t="s">
        <v>372</v>
      </c>
      <c r="M7" s="89" t="s">
        <v>373</v>
      </c>
      <c r="N7" s="70"/>
      <c r="O7" s="14">
        <f t="shared" si="3"/>
        <v>46766</v>
      </c>
      <c r="P7" s="14" t="e">
        <f t="shared" si="0"/>
        <v>#VALUE!</v>
      </c>
      <c r="Q7" s="14"/>
      <c r="R7" s="14"/>
    </row>
    <row r="8" spans="1:21" ht="40.15" customHeight="1">
      <c r="A8" s="2">
        <v>5</v>
      </c>
      <c r="B8" s="68" t="s">
        <v>20</v>
      </c>
      <c r="C8" s="68" t="s">
        <v>24</v>
      </c>
      <c r="D8" s="68" t="s">
        <v>375</v>
      </c>
      <c r="E8" s="68" t="s">
        <v>23</v>
      </c>
      <c r="F8" s="81">
        <v>43538</v>
      </c>
      <c r="G8" s="68" t="s">
        <v>22</v>
      </c>
      <c r="H8" s="78" t="s">
        <v>37</v>
      </c>
      <c r="I8" s="81">
        <v>43538</v>
      </c>
      <c r="J8" s="81" t="s">
        <v>401</v>
      </c>
      <c r="K8" s="81">
        <v>45790</v>
      </c>
      <c r="L8" s="81">
        <v>45579</v>
      </c>
      <c r="M8" s="89">
        <v>45579</v>
      </c>
      <c r="N8" s="70"/>
      <c r="O8" s="14">
        <f t="shared" si="3"/>
        <v>46520</v>
      </c>
      <c r="P8" s="14">
        <f t="shared" si="0"/>
        <v>46309</v>
      </c>
      <c r="Q8" s="14"/>
      <c r="R8" s="14"/>
    </row>
    <row r="9" spans="1:21" ht="39.75" customHeight="1">
      <c r="A9" s="2">
        <v>6</v>
      </c>
      <c r="B9" s="68" t="s">
        <v>64</v>
      </c>
      <c r="C9" s="68" t="s">
        <v>68</v>
      </c>
      <c r="D9" s="68" t="s">
        <v>375</v>
      </c>
      <c r="E9" s="68" t="s">
        <v>66</v>
      </c>
      <c r="F9" s="81">
        <v>44531</v>
      </c>
      <c r="G9" s="68" t="s">
        <v>69</v>
      </c>
      <c r="H9" s="78" t="s">
        <v>37</v>
      </c>
      <c r="I9" s="81">
        <v>44524</v>
      </c>
      <c r="J9" s="81" t="s">
        <v>403</v>
      </c>
      <c r="K9" s="80">
        <v>45917</v>
      </c>
      <c r="L9" s="81">
        <v>45373</v>
      </c>
      <c r="M9" s="90">
        <v>45988</v>
      </c>
      <c r="N9" s="70"/>
      <c r="O9" s="14">
        <f t="shared" si="3"/>
        <v>46647</v>
      </c>
      <c r="P9" s="89">
        <f t="shared" si="0"/>
        <v>46718</v>
      </c>
      <c r="Q9" s="14"/>
      <c r="R9" s="14"/>
    </row>
    <row r="10" spans="1:21" ht="39.75" customHeight="1">
      <c r="A10" s="2">
        <v>7</v>
      </c>
      <c r="B10" s="68" t="s">
        <v>65</v>
      </c>
      <c r="C10" s="68" t="s">
        <v>95</v>
      </c>
      <c r="D10" s="68" t="s">
        <v>375</v>
      </c>
      <c r="E10" s="68" t="s">
        <v>67</v>
      </c>
      <c r="F10" s="81">
        <v>44531</v>
      </c>
      <c r="G10" s="68" t="s">
        <v>70</v>
      </c>
      <c r="H10" s="78" t="s">
        <v>37</v>
      </c>
      <c r="I10" s="81">
        <v>44524</v>
      </c>
      <c r="J10" s="81" t="s">
        <v>401</v>
      </c>
      <c r="K10" s="80">
        <v>45973</v>
      </c>
      <c r="L10" s="81">
        <v>44648</v>
      </c>
      <c r="M10" s="90">
        <v>45980</v>
      </c>
      <c r="N10" s="70"/>
      <c r="O10" s="14">
        <f t="shared" si="3"/>
        <v>46703</v>
      </c>
      <c r="P10" s="89">
        <f t="shared" si="0"/>
        <v>46710</v>
      </c>
      <c r="Q10" s="14"/>
      <c r="R10" s="14"/>
    </row>
    <row r="11" spans="1:21" ht="40.15" customHeight="1">
      <c r="A11" s="2">
        <v>8</v>
      </c>
      <c r="B11" s="68" t="s">
        <v>72</v>
      </c>
      <c r="C11" s="68" t="s">
        <v>84</v>
      </c>
      <c r="D11" s="68" t="s">
        <v>375</v>
      </c>
      <c r="E11" s="68" t="s">
        <v>74</v>
      </c>
      <c r="F11" s="81">
        <v>44557</v>
      </c>
      <c r="G11" s="68" t="s">
        <v>75</v>
      </c>
      <c r="H11" s="78" t="s">
        <v>37</v>
      </c>
      <c r="I11" s="81">
        <v>44552</v>
      </c>
      <c r="J11" s="81" t="s">
        <v>403</v>
      </c>
      <c r="K11" s="81">
        <v>45790</v>
      </c>
      <c r="L11" s="81">
        <v>44613</v>
      </c>
      <c r="M11" s="90">
        <v>45729</v>
      </c>
      <c r="N11" s="70"/>
      <c r="O11" s="14">
        <f t="shared" si="3"/>
        <v>46520</v>
      </c>
      <c r="P11" s="89">
        <f t="shared" si="0"/>
        <v>46459</v>
      </c>
      <c r="Q11" s="14"/>
      <c r="R11" s="14"/>
    </row>
    <row r="12" spans="1:21" ht="40.15" customHeight="1">
      <c r="A12" s="2">
        <v>9</v>
      </c>
      <c r="B12" s="68" t="s">
        <v>287</v>
      </c>
      <c r="C12" s="68" t="s">
        <v>289</v>
      </c>
      <c r="D12" s="68" t="s">
        <v>375</v>
      </c>
      <c r="E12" s="68" t="s">
        <v>288</v>
      </c>
      <c r="F12" s="81">
        <v>45310</v>
      </c>
      <c r="G12" s="68" t="s">
        <v>290</v>
      </c>
      <c r="H12" s="78" t="s">
        <v>37</v>
      </c>
      <c r="I12" s="81">
        <v>45303</v>
      </c>
      <c r="J12" s="81" t="s">
        <v>404</v>
      </c>
      <c r="K12" s="80">
        <v>45917</v>
      </c>
      <c r="L12" s="80">
        <v>45371</v>
      </c>
      <c r="M12" s="90">
        <v>45975</v>
      </c>
      <c r="N12" s="70"/>
      <c r="O12" s="14">
        <f t="shared" si="3"/>
        <v>46647</v>
      </c>
      <c r="P12" s="89">
        <f t="shared" si="0"/>
        <v>46705</v>
      </c>
      <c r="Q12" s="14"/>
      <c r="R12" s="14"/>
    </row>
    <row r="13" spans="1:21" ht="36.6" customHeight="1">
      <c r="A13" s="2">
        <v>10</v>
      </c>
      <c r="B13" s="68" t="s">
        <v>98</v>
      </c>
      <c r="C13" s="68" t="s">
        <v>103</v>
      </c>
      <c r="D13" s="68" t="s">
        <v>375</v>
      </c>
      <c r="E13" s="68" t="s">
        <v>102</v>
      </c>
      <c r="F13" s="81">
        <v>45236</v>
      </c>
      <c r="G13" s="68" t="s">
        <v>104</v>
      </c>
      <c r="H13" s="78" t="s">
        <v>37</v>
      </c>
      <c r="I13" s="81">
        <v>45212</v>
      </c>
      <c r="J13" s="81" t="s">
        <v>401</v>
      </c>
      <c r="K13" s="80">
        <v>45973</v>
      </c>
      <c r="L13" s="80">
        <v>45373</v>
      </c>
      <c r="M13" s="90">
        <v>45980</v>
      </c>
      <c r="N13" s="70"/>
      <c r="O13" s="14">
        <f t="shared" si="3"/>
        <v>46703</v>
      </c>
      <c r="P13" s="89">
        <f t="shared" si="0"/>
        <v>46710</v>
      </c>
      <c r="Q13" s="14"/>
      <c r="R13" s="27"/>
    </row>
    <row r="14" spans="1:21" ht="36.75" customHeight="1">
      <c r="A14" s="2">
        <v>11</v>
      </c>
      <c r="B14" s="68" t="s">
        <v>360</v>
      </c>
      <c r="C14" s="68" t="s">
        <v>362</v>
      </c>
      <c r="D14" s="68" t="s">
        <v>398</v>
      </c>
      <c r="E14" s="68" t="s">
        <v>364</v>
      </c>
      <c r="F14" s="81">
        <v>45894</v>
      </c>
      <c r="G14" s="68" t="s">
        <v>366</v>
      </c>
      <c r="H14" s="78" t="s">
        <v>37</v>
      </c>
      <c r="I14" s="81">
        <v>45882</v>
      </c>
      <c r="J14" s="81" t="s">
        <v>405</v>
      </c>
      <c r="K14" s="81">
        <v>45882</v>
      </c>
      <c r="L14" s="81">
        <v>45967</v>
      </c>
      <c r="M14" s="81">
        <v>45967</v>
      </c>
      <c r="N14" s="71"/>
      <c r="O14" s="14">
        <f t="shared" si="3"/>
        <v>46612</v>
      </c>
      <c r="P14" s="14">
        <f t="shared" si="0"/>
        <v>46697</v>
      </c>
      <c r="Q14" s="14"/>
      <c r="R14" s="14"/>
    </row>
    <row r="15" spans="1:21" ht="36.75" customHeight="1">
      <c r="A15" s="2">
        <v>12</v>
      </c>
      <c r="B15" s="68" t="s">
        <v>361</v>
      </c>
      <c r="C15" s="68" t="s">
        <v>363</v>
      </c>
      <c r="D15" s="68" t="s">
        <v>375</v>
      </c>
      <c r="E15" s="68" t="s">
        <v>365</v>
      </c>
      <c r="F15" s="81">
        <v>45894</v>
      </c>
      <c r="G15" s="68" t="s">
        <v>366</v>
      </c>
      <c r="H15" s="78" t="s">
        <v>37</v>
      </c>
      <c r="I15" s="81">
        <v>45882</v>
      </c>
      <c r="J15" s="81" t="s">
        <v>406</v>
      </c>
      <c r="K15" s="81">
        <v>45882</v>
      </c>
      <c r="L15" s="81">
        <v>45923</v>
      </c>
      <c r="M15" s="81">
        <v>45923</v>
      </c>
      <c r="N15" s="71"/>
      <c r="O15" s="14">
        <f t="shared" si="3"/>
        <v>46612</v>
      </c>
      <c r="P15" s="14">
        <f t="shared" si="0"/>
        <v>46653</v>
      </c>
      <c r="Q15" s="14"/>
      <c r="R15" s="14"/>
    </row>
    <row r="16" spans="1:21" ht="36.75" customHeight="1">
      <c r="A16" s="2">
        <v>13</v>
      </c>
      <c r="B16" s="68" t="s">
        <v>376</v>
      </c>
      <c r="C16" s="68" t="s">
        <v>378</v>
      </c>
      <c r="D16" s="68" t="s">
        <v>375</v>
      </c>
      <c r="E16" s="68" t="s">
        <v>379</v>
      </c>
      <c r="F16" s="77" t="s">
        <v>371</v>
      </c>
      <c r="G16" s="78" t="s">
        <v>381</v>
      </c>
      <c r="H16" s="78" t="s">
        <v>37</v>
      </c>
      <c r="I16" s="79">
        <v>46036</v>
      </c>
      <c r="J16" s="79" t="s">
        <v>401</v>
      </c>
      <c r="K16" s="79">
        <v>46036</v>
      </c>
      <c r="L16" s="81" t="s">
        <v>372</v>
      </c>
      <c r="M16" s="84" t="s">
        <v>372</v>
      </c>
      <c r="N16" s="5"/>
      <c r="O16" s="14">
        <f t="shared" si="3"/>
        <v>46766</v>
      </c>
      <c r="P16" s="14" t="e">
        <f t="shared" si="0"/>
        <v>#VALUE!</v>
      </c>
      <c r="Q16" s="5"/>
      <c r="R16" s="5"/>
    </row>
    <row r="17" spans="1:18" ht="36.75" customHeight="1">
      <c r="A17" s="2">
        <v>14</v>
      </c>
      <c r="B17" s="68" t="s">
        <v>384</v>
      </c>
      <c r="C17" s="68" t="s">
        <v>391</v>
      </c>
      <c r="D17" s="68" t="s">
        <v>375</v>
      </c>
      <c r="E17" s="68" t="s">
        <v>388</v>
      </c>
      <c r="F17" s="85">
        <v>46163</v>
      </c>
      <c r="G17" s="87" t="s">
        <v>387</v>
      </c>
      <c r="H17" s="78" t="s">
        <v>37</v>
      </c>
      <c r="I17" s="85">
        <v>46155</v>
      </c>
      <c r="J17" s="85" t="s">
        <v>400</v>
      </c>
      <c r="K17" s="85">
        <v>46155</v>
      </c>
      <c r="L17" s="85" t="s">
        <v>15</v>
      </c>
      <c r="M17" s="86" t="s">
        <v>15</v>
      </c>
      <c r="N17" s="5"/>
      <c r="O17" s="14">
        <f t="shared" si="3"/>
        <v>46886</v>
      </c>
      <c r="P17" s="14" t="e">
        <f t="shared" si="0"/>
        <v>#VALUE!</v>
      </c>
      <c r="Q17" s="5"/>
      <c r="R17" s="5"/>
    </row>
    <row r="18" spans="1:18" ht="36.75" customHeight="1">
      <c r="A18" s="2">
        <v>15</v>
      </c>
      <c r="B18" s="68" t="s">
        <v>34</v>
      </c>
      <c r="C18" s="68" t="s">
        <v>390</v>
      </c>
      <c r="D18" s="68" t="s">
        <v>375</v>
      </c>
      <c r="E18" s="68" t="s">
        <v>35</v>
      </c>
      <c r="F18" s="85">
        <v>46163</v>
      </c>
      <c r="G18" s="87" t="s">
        <v>387</v>
      </c>
      <c r="H18" s="78" t="s">
        <v>37</v>
      </c>
      <c r="I18" s="85">
        <v>46155</v>
      </c>
      <c r="J18" s="85" t="s">
        <v>407</v>
      </c>
      <c r="K18" s="85">
        <v>46155</v>
      </c>
      <c r="L18" s="85" t="s">
        <v>15</v>
      </c>
      <c r="M18" s="86" t="s">
        <v>15</v>
      </c>
      <c r="N18" s="5"/>
      <c r="O18" s="14">
        <f t="shared" si="3"/>
        <v>46886</v>
      </c>
      <c r="P18" s="14" t="e">
        <f t="shared" si="0"/>
        <v>#VALUE!</v>
      </c>
      <c r="Q18" s="5"/>
      <c r="R18" s="5"/>
    </row>
    <row r="19" spans="1:18" ht="36.75" customHeight="1">
      <c r="A19" s="88">
        <v>16</v>
      </c>
      <c r="B19" s="68" t="s">
        <v>385</v>
      </c>
      <c r="C19" s="68" t="s">
        <v>386</v>
      </c>
      <c r="D19" s="68" t="s">
        <v>375</v>
      </c>
      <c r="E19" s="68" t="s">
        <v>389</v>
      </c>
      <c r="F19" s="85">
        <v>46163</v>
      </c>
      <c r="G19" s="87" t="s">
        <v>387</v>
      </c>
      <c r="H19" s="78" t="s">
        <v>37</v>
      </c>
      <c r="I19" s="85">
        <v>46155</v>
      </c>
      <c r="J19" s="85" t="s">
        <v>400</v>
      </c>
      <c r="K19" s="85">
        <v>46155</v>
      </c>
      <c r="L19" s="85" t="s">
        <v>15</v>
      </c>
      <c r="M19" s="86" t="s">
        <v>15</v>
      </c>
      <c r="N19" s="5"/>
      <c r="O19" s="14">
        <f t="shared" si="3"/>
        <v>46886</v>
      </c>
      <c r="P19" s="14" t="e">
        <f t="shared" si="0"/>
        <v>#VALUE!</v>
      </c>
      <c r="Q19" s="5"/>
      <c r="R19" s="5"/>
    </row>
  </sheetData>
  <mergeCells count="3">
    <mergeCell ref="A2:M2"/>
    <mergeCell ref="A1:M1"/>
    <mergeCell ref="O2:P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4:K5"/>
  <sheetViews>
    <sheetView workbookViewId="0">
      <selection activeCell="I4" sqref="I4:K6"/>
    </sheetView>
  </sheetViews>
  <sheetFormatPr defaultRowHeight="16.5"/>
  <cols>
    <col min="9" max="9" width="10.75" bestFit="1" customWidth="1"/>
  </cols>
  <sheetData>
    <row r="4" spans="9:11">
      <c r="I4" s="16">
        <v>45702</v>
      </c>
      <c r="K4">
        <v>1</v>
      </c>
    </row>
    <row r="5" spans="9:11">
      <c r="I5" s="16">
        <v>45712</v>
      </c>
      <c r="K5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I6"/>
  <sheetViews>
    <sheetView workbookViewId="0">
      <selection activeCell="H6" sqref="H6"/>
    </sheetView>
  </sheetViews>
  <sheetFormatPr defaultRowHeight="16.5"/>
  <cols>
    <col min="7" max="9" width="10.75" bestFit="1" customWidth="1"/>
  </cols>
  <sheetData>
    <row r="4" spans="7:9">
      <c r="G4" s="16">
        <f ca="1">TODAY()</f>
        <v>46259</v>
      </c>
      <c r="H4" s="16">
        <f ca="1">TODAY()-3</f>
        <v>46256</v>
      </c>
      <c r="I4" s="16">
        <f ca="1">G4+3</f>
        <v>46262</v>
      </c>
    </row>
    <row r="6" spans="7:9">
      <c r="H6">
        <f ca="1">G4-H4</f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I77"/>
  <sheetViews>
    <sheetView view="pageBreakPreview" zoomScale="115" zoomScaleNormal="100" zoomScaleSheetLayoutView="115" workbookViewId="0">
      <selection activeCell="G34" sqref="A5:G34"/>
    </sheetView>
  </sheetViews>
  <sheetFormatPr defaultColWidth="8.625" defaultRowHeight="13.5"/>
  <cols>
    <col min="1" max="1" width="8.625" style="37"/>
    <col min="2" max="7" width="17.125" style="37" customWidth="1"/>
    <col min="8" max="16384" width="8.625" style="37"/>
  </cols>
  <sheetData>
    <row r="1" spans="1:7" ht="40.15" customHeight="1">
      <c r="A1" s="96" t="s">
        <v>286</v>
      </c>
      <c r="B1" s="96"/>
      <c r="C1" s="96"/>
      <c r="D1" s="96"/>
      <c r="E1" s="96"/>
      <c r="F1" s="96"/>
      <c r="G1" s="96"/>
    </row>
    <row r="2" spans="1:7">
      <c r="A2" s="97" t="s">
        <v>105</v>
      </c>
      <c r="B2" s="97" t="s">
        <v>106</v>
      </c>
      <c r="C2" s="97"/>
      <c r="D2" s="97"/>
      <c r="E2" s="97"/>
      <c r="F2" s="97"/>
      <c r="G2" s="97"/>
    </row>
    <row r="3" spans="1:7">
      <c r="A3" s="97"/>
      <c r="B3" s="97">
        <v>2021</v>
      </c>
      <c r="C3" s="97"/>
      <c r="D3" s="97">
        <v>2022</v>
      </c>
      <c r="E3" s="97"/>
      <c r="F3" s="97">
        <v>2023</v>
      </c>
      <c r="G3" s="97"/>
    </row>
    <row r="4" spans="1:7">
      <c r="A4" s="97"/>
      <c r="B4" s="38" t="s">
        <v>107</v>
      </c>
      <c r="C4" s="38" t="s">
        <v>108</v>
      </c>
      <c r="D4" s="38" t="s">
        <v>107</v>
      </c>
      <c r="E4" s="38" t="s">
        <v>109</v>
      </c>
      <c r="F4" s="38" t="s">
        <v>107</v>
      </c>
      <c r="G4" s="38" t="s">
        <v>109</v>
      </c>
    </row>
    <row r="5" spans="1:7">
      <c r="A5" s="64" t="s">
        <v>33</v>
      </c>
      <c r="B5" s="59" t="s">
        <v>297</v>
      </c>
      <c r="C5" s="56">
        <v>44279</v>
      </c>
      <c r="D5" s="59" t="s">
        <v>297</v>
      </c>
      <c r="E5" s="56">
        <v>44607</v>
      </c>
      <c r="F5" s="59" t="s">
        <v>123</v>
      </c>
      <c r="G5" s="56">
        <v>44985</v>
      </c>
    </row>
    <row r="6" spans="1:7">
      <c r="A6" s="64"/>
      <c r="B6" s="59" t="s">
        <v>298</v>
      </c>
      <c r="C6" s="56">
        <v>44280</v>
      </c>
      <c r="D6" s="59" t="s">
        <v>298</v>
      </c>
      <c r="E6" s="56">
        <v>44608</v>
      </c>
      <c r="F6" s="59" t="s">
        <v>317</v>
      </c>
      <c r="G6" s="59" t="s">
        <v>318</v>
      </c>
    </row>
    <row r="7" spans="1:7">
      <c r="A7" s="64"/>
      <c r="B7" s="59" t="s">
        <v>299</v>
      </c>
      <c r="C7" s="56">
        <v>44425</v>
      </c>
      <c r="D7" s="59" t="s">
        <v>307</v>
      </c>
      <c r="E7" s="59" t="s">
        <v>308</v>
      </c>
      <c r="F7" s="65" t="s">
        <v>324</v>
      </c>
      <c r="G7" s="59" t="s">
        <v>323</v>
      </c>
    </row>
    <row r="8" spans="1:7">
      <c r="A8" s="64"/>
      <c r="B8" s="59" t="s">
        <v>300</v>
      </c>
      <c r="C8" s="56">
        <v>44273</v>
      </c>
      <c r="D8" s="59" t="s">
        <v>320</v>
      </c>
      <c r="E8" s="59" t="s">
        <v>309</v>
      </c>
      <c r="F8" s="59" t="s">
        <v>321</v>
      </c>
      <c r="G8" s="59" t="s">
        <v>322</v>
      </c>
    </row>
    <row r="9" spans="1:7">
      <c r="A9" s="64"/>
      <c r="B9" s="59" t="s">
        <v>301</v>
      </c>
      <c r="C9" s="59" t="s">
        <v>302</v>
      </c>
      <c r="D9" s="59"/>
      <c r="E9" s="59"/>
      <c r="F9" s="65" t="s">
        <v>325</v>
      </c>
      <c r="G9" s="59" t="s">
        <v>326</v>
      </c>
    </row>
    <row r="10" spans="1:7">
      <c r="A10" s="64"/>
      <c r="B10" s="59"/>
      <c r="C10" s="59"/>
      <c r="D10" s="59"/>
      <c r="E10" s="59"/>
      <c r="F10" s="59" t="s">
        <v>327</v>
      </c>
      <c r="G10" s="59" t="s">
        <v>162</v>
      </c>
    </row>
    <row r="11" spans="1:7">
      <c r="A11" s="64"/>
      <c r="B11" s="59"/>
      <c r="C11" s="59"/>
      <c r="D11" s="59"/>
      <c r="E11" s="59"/>
      <c r="F11" s="59" t="s">
        <v>328</v>
      </c>
      <c r="G11" s="59" t="s">
        <v>329</v>
      </c>
    </row>
    <row r="12" spans="1:7">
      <c r="A12" s="64"/>
      <c r="B12" s="59"/>
      <c r="C12" s="59"/>
      <c r="D12" s="59"/>
      <c r="E12" s="59"/>
      <c r="F12" s="59" t="s">
        <v>301</v>
      </c>
      <c r="G12" s="59" t="s">
        <v>136</v>
      </c>
    </row>
    <row r="13" spans="1:7">
      <c r="A13" s="64"/>
      <c r="B13" s="59"/>
      <c r="C13" s="59"/>
      <c r="D13" s="59"/>
      <c r="E13" s="59"/>
      <c r="F13" s="59"/>
      <c r="G13" s="59"/>
    </row>
    <row r="14" spans="1:7">
      <c r="A14" s="64" t="s">
        <v>27</v>
      </c>
      <c r="B14" s="59" t="s">
        <v>303</v>
      </c>
      <c r="C14" s="59" t="s">
        <v>120</v>
      </c>
      <c r="D14" s="59" t="s">
        <v>310</v>
      </c>
      <c r="E14" s="56">
        <v>44679</v>
      </c>
      <c r="F14" s="59" t="s">
        <v>297</v>
      </c>
      <c r="G14" s="56">
        <v>44966</v>
      </c>
    </row>
    <row r="15" spans="1:7">
      <c r="A15" s="64"/>
      <c r="B15" s="59" t="s">
        <v>124</v>
      </c>
      <c r="C15" s="56">
        <v>44364</v>
      </c>
      <c r="D15" s="59" t="s">
        <v>311</v>
      </c>
      <c r="E15" s="56">
        <v>44799</v>
      </c>
      <c r="F15" s="59" t="s">
        <v>298</v>
      </c>
      <c r="G15" s="56">
        <v>44967</v>
      </c>
    </row>
    <row r="16" spans="1:7">
      <c r="A16" s="64"/>
      <c r="B16" s="59"/>
      <c r="C16" s="59"/>
      <c r="D16" s="59"/>
      <c r="E16" s="59"/>
      <c r="F16" s="59" t="s">
        <v>330</v>
      </c>
      <c r="G16" s="59" t="s">
        <v>331</v>
      </c>
    </row>
    <row r="17" spans="1:7">
      <c r="A17" s="64"/>
      <c r="B17" s="59"/>
      <c r="C17" s="59"/>
      <c r="D17" s="59"/>
      <c r="E17" s="59"/>
      <c r="F17" s="66" t="s">
        <v>332</v>
      </c>
      <c r="G17" s="59" t="s">
        <v>136</v>
      </c>
    </row>
    <row r="18" spans="1:7">
      <c r="A18" s="64"/>
      <c r="B18" s="59"/>
      <c r="C18" s="59"/>
      <c r="D18" s="59"/>
      <c r="E18" s="59"/>
      <c r="F18" s="66" t="s">
        <v>333</v>
      </c>
      <c r="G18" s="59" t="s">
        <v>134</v>
      </c>
    </row>
    <row r="19" spans="1:7">
      <c r="A19" s="64"/>
      <c r="B19" s="59"/>
      <c r="C19" s="59"/>
      <c r="D19" s="59"/>
      <c r="E19" s="59"/>
      <c r="F19" s="59"/>
      <c r="G19" s="59"/>
    </row>
    <row r="20" spans="1:7">
      <c r="A20" s="64" t="s">
        <v>20</v>
      </c>
      <c r="B20" s="59" t="s">
        <v>139</v>
      </c>
      <c r="C20" s="56">
        <v>44403</v>
      </c>
      <c r="D20" s="59" t="s">
        <v>319</v>
      </c>
      <c r="E20" s="59" t="s">
        <v>312</v>
      </c>
      <c r="F20" s="59" t="s">
        <v>334</v>
      </c>
      <c r="G20" s="59" t="s">
        <v>335</v>
      </c>
    </row>
    <row r="21" spans="1:7">
      <c r="A21" s="64"/>
      <c r="B21" s="59" t="s">
        <v>150</v>
      </c>
      <c r="C21" s="56">
        <v>44391</v>
      </c>
      <c r="D21" s="59" t="s">
        <v>301</v>
      </c>
      <c r="E21" s="59" t="s">
        <v>313</v>
      </c>
      <c r="F21" s="59" t="s">
        <v>336</v>
      </c>
      <c r="G21" s="59" t="s">
        <v>337</v>
      </c>
    </row>
    <row r="22" spans="1:7">
      <c r="A22" s="64"/>
      <c r="B22" s="59" t="s">
        <v>304</v>
      </c>
      <c r="C22" s="56">
        <v>44329</v>
      </c>
      <c r="D22" s="59"/>
      <c r="E22" s="59"/>
      <c r="F22" s="67" t="s">
        <v>338</v>
      </c>
      <c r="G22" s="59" t="s">
        <v>340</v>
      </c>
    </row>
    <row r="23" spans="1:7">
      <c r="A23" s="64"/>
      <c r="B23" s="59" t="s">
        <v>151</v>
      </c>
      <c r="C23" s="56" t="s">
        <v>305</v>
      </c>
      <c r="D23" s="59"/>
      <c r="E23" s="59"/>
      <c r="F23" s="67" t="s">
        <v>339</v>
      </c>
      <c r="G23" s="59" t="s">
        <v>341</v>
      </c>
    </row>
    <row r="24" spans="1:7">
      <c r="A24" s="64"/>
      <c r="B24" s="59"/>
      <c r="C24" s="56"/>
      <c r="D24" s="59"/>
      <c r="E24" s="59"/>
      <c r="F24" s="59" t="s">
        <v>342</v>
      </c>
      <c r="G24" s="59" t="s">
        <v>343</v>
      </c>
    </row>
    <row r="25" spans="1:7">
      <c r="A25" s="64"/>
      <c r="B25" s="59"/>
      <c r="C25" s="56"/>
      <c r="D25" s="59"/>
      <c r="E25" s="59"/>
      <c r="F25" s="59" t="s">
        <v>151</v>
      </c>
      <c r="G25" s="56" t="s">
        <v>305</v>
      </c>
    </row>
    <row r="26" spans="1:7">
      <c r="A26" s="64"/>
      <c r="B26" s="59"/>
      <c r="C26" s="56"/>
      <c r="D26" s="59"/>
      <c r="E26" s="59"/>
      <c r="F26" s="59"/>
      <c r="G26" s="59"/>
    </row>
    <row r="27" spans="1:7">
      <c r="A27" s="64" t="s">
        <v>28</v>
      </c>
      <c r="B27" s="59" t="s">
        <v>297</v>
      </c>
      <c r="C27" s="56">
        <v>44279</v>
      </c>
      <c r="D27" s="59" t="s">
        <v>306</v>
      </c>
      <c r="E27" s="59" t="s">
        <v>314</v>
      </c>
      <c r="F27" s="59" t="s">
        <v>189</v>
      </c>
      <c r="G27" s="59" t="s">
        <v>344</v>
      </c>
    </row>
    <row r="28" spans="1:7">
      <c r="A28" s="64"/>
      <c r="B28" s="59" t="s">
        <v>298</v>
      </c>
      <c r="C28" s="56">
        <v>44280</v>
      </c>
      <c r="D28" s="59" t="s">
        <v>315</v>
      </c>
      <c r="E28" s="59" t="s">
        <v>316</v>
      </c>
      <c r="F28" s="59" t="s">
        <v>186</v>
      </c>
      <c r="G28" s="59" t="s">
        <v>187</v>
      </c>
    </row>
    <row r="29" spans="1:7">
      <c r="A29" s="64"/>
      <c r="B29" s="59" t="s">
        <v>306</v>
      </c>
      <c r="C29" s="56">
        <v>44329</v>
      </c>
      <c r="D29" s="59" t="s">
        <v>301</v>
      </c>
      <c r="E29" s="59" t="s">
        <v>313</v>
      </c>
      <c r="F29" s="59" t="s">
        <v>129</v>
      </c>
      <c r="G29" s="56">
        <v>45040</v>
      </c>
    </row>
    <row r="30" spans="1:7">
      <c r="A30" s="64"/>
      <c r="B30" s="59"/>
      <c r="C30" s="56"/>
      <c r="D30" s="59"/>
      <c r="E30" s="59"/>
      <c r="F30" s="59" t="s">
        <v>345</v>
      </c>
      <c r="G30" s="56">
        <v>45212</v>
      </c>
    </row>
    <row r="31" spans="1:7">
      <c r="A31" s="64"/>
      <c r="B31" s="59"/>
      <c r="C31" s="56"/>
      <c r="D31" s="59"/>
      <c r="E31" s="59"/>
      <c r="F31" s="59" t="s">
        <v>346</v>
      </c>
      <c r="G31" s="56">
        <v>45259</v>
      </c>
    </row>
    <row r="32" spans="1:7">
      <c r="A32" s="64"/>
      <c r="B32" s="59"/>
      <c r="C32" s="56"/>
      <c r="D32" s="59"/>
      <c r="E32" s="59"/>
      <c r="F32" s="59" t="s">
        <v>347</v>
      </c>
      <c r="G32" s="59" t="s">
        <v>348</v>
      </c>
    </row>
    <row r="33" spans="1:9">
      <c r="A33" s="64"/>
      <c r="B33" s="59"/>
      <c r="C33" s="56"/>
      <c r="D33" s="59"/>
      <c r="E33" s="59"/>
      <c r="F33" s="67" t="s">
        <v>349</v>
      </c>
      <c r="G33" s="59" t="s">
        <v>350</v>
      </c>
    </row>
    <row r="34" spans="1:9">
      <c r="A34" s="64"/>
      <c r="B34" s="59"/>
      <c r="C34" s="59"/>
      <c r="D34" s="59"/>
      <c r="E34" s="59"/>
      <c r="F34" s="59" t="s">
        <v>351</v>
      </c>
      <c r="G34" s="59" t="s">
        <v>165</v>
      </c>
    </row>
    <row r="35" spans="1:9">
      <c r="A35" s="39"/>
      <c r="B35" s="40"/>
      <c r="C35" s="40"/>
      <c r="D35" s="40"/>
      <c r="E35" s="40"/>
      <c r="F35" s="40"/>
      <c r="G35" s="40"/>
    </row>
    <row r="36" spans="1:9">
      <c r="A36" s="98" t="s">
        <v>47</v>
      </c>
      <c r="B36" s="41" t="s">
        <v>110</v>
      </c>
      <c r="C36" s="42">
        <v>44273</v>
      </c>
      <c r="D36" s="41" t="s">
        <v>111</v>
      </c>
      <c r="E36" s="42">
        <v>44706</v>
      </c>
      <c r="F36" s="41" t="s">
        <v>112</v>
      </c>
      <c r="G36" s="41" t="s">
        <v>113</v>
      </c>
    </row>
    <row r="37" spans="1:9">
      <c r="A37" s="99"/>
      <c r="B37" s="41" t="s">
        <v>114</v>
      </c>
      <c r="C37" s="42">
        <v>44336</v>
      </c>
      <c r="D37" s="41" t="s">
        <v>112</v>
      </c>
      <c r="E37" s="42">
        <v>44833</v>
      </c>
      <c r="F37" s="41"/>
      <c r="G37" s="41"/>
    </row>
    <row r="38" spans="1:9" ht="8.1" customHeight="1">
      <c r="A38" s="43"/>
      <c r="B38" s="44"/>
      <c r="C38" s="45"/>
      <c r="D38" s="44"/>
      <c r="E38" s="45"/>
      <c r="F38" s="44"/>
      <c r="G38" s="46"/>
    </row>
    <row r="39" spans="1:9">
      <c r="A39" s="41" t="s">
        <v>115</v>
      </c>
      <c r="B39" s="41" t="s">
        <v>116</v>
      </c>
      <c r="C39" s="42">
        <v>44371</v>
      </c>
      <c r="D39" s="41" t="s">
        <v>116</v>
      </c>
      <c r="E39" s="42">
        <v>44700</v>
      </c>
      <c r="F39" s="41" t="s">
        <v>117</v>
      </c>
      <c r="G39" s="42">
        <v>45023</v>
      </c>
    </row>
    <row r="40" spans="1:9" ht="8.1" customHeight="1"/>
    <row r="41" spans="1:9">
      <c r="A41" s="95" t="s">
        <v>118</v>
      </c>
      <c r="B41" s="41" t="s">
        <v>119</v>
      </c>
      <c r="C41" s="41" t="s">
        <v>120</v>
      </c>
      <c r="D41" s="41" t="s">
        <v>121</v>
      </c>
      <c r="E41" s="41" t="s">
        <v>122</v>
      </c>
      <c r="F41" s="41" t="s">
        <v>123</v>
      </c>
      <c r="G41" s="42">
        <v>44985</v>
      </c>
    </row>
    <row r="42" spans="1:9">
      <c r="A42" s="95"/>
      <c r="B42" s="41" t="s">
        <v>15</v>
      </c>
      <c r="C42" s="41" t="s">
        <v>15</v>
      </c>
      <c r="D42" s="46" t="s">
        <v>124</v>
      </c>
      <c r="E42" s="42">
        <v>44733</v>
      </c>
      <c r="F42" s="41" t="s">
        <v>125</v>
      </c>
      <c r="G42" s="41" t="s">
        <v>126</v>
      </c>
      <c r="I42" s="47"/>
    </row>
    <row r="43" spans="1:9">
      <c r="A43" s="95"/>
      <c r="B43" s="41" t="s">
        <v>15</v>
      </c>
      <c r="C43" s="41" t="s">
        <v>15</v>
      </c>
      <c r="D43" s="46" t="s">
        <v>127</v>
      </c>
      <c r="E43" s="41" t="s">
        <v>128</v>
      </c>
      <c r="F43" s="41" t="s">
        <v>129</v>
      </c>
      <c r="G43" s="42">
        <v>45040</v>
      </c>
    </row>
    <row r="44" spans="1:9">
      <c r="A44" s="95"/>
      <c r="B44" s="41" t="s">
        <v>15</v>
      </c>
      <c r="C44" s="41" t="s">
        <v>130</v>
      </c>
      <c r="D44" s="41" t="s">
        <v>130</v>
      </c>
      <c r="E44" s="41" t="s">
        <v>130</v>
      </c>
      <c r="F44" s="41" t="s">
        <v>131</v>
      </c>
      <c r="G44" s="41" t="s">
        <v>132</v>
      </c>
    </row>
    <row r="45" spans="1:9">
      <c r="A45" s="95"/>
      <c r="B45" s="41" t="s">
        <v>130</v>
      </c>
      <c r="C45" s="41" t="s">
        <v>130</v>
      </c>
      <c r="D45" s="41" t="s">
        <v>130</v>
      </c>
      <c r="E45" s="41" t="s">
        <v>130</v>
      </c>
      <c r="F45" s="41" t="s">
        <v>133</v>
      </c>
      <c r="G45" s="42" t="s">
        <v>134</v>
      </c>
    </row>
    <row r="46" spans="1:9">
      <c r="A46" s="95"/>
      <c r="B46" s="41" t="s">
        <v>130</v>
      </c>
      <c r="C46" s="41" t="s">
        <v>130</v>
      </c>
      <c r="D46" s="41" t="s">
        <v>130</v>
      </c>
      <c r="E46" s="41" t="s">
        <v>130</v>
      </c>
      <c r="F46" s="41" t="s">
        <v>135</v>
      </c>
      <c r="G46" s="41" t="s">
        <v>136</v>
      </c>
    </row>
    <row r="47" spans="1:9" ht="8.1" customHeight="1"/>
    <row r="48" spans="1:9">
      <c r="A48" s="95" t="s">
        <v>137</v>
      </c>
      <c r="B48" s="41" t="s">
        <v>130</v>
      </c>
      <c r="C48" s="41" t="s">
        <v>130</v>
      </c>
      <c r="D48" s="41" t="s">
        <v>138</v>
      </c>
      <c r="E48" s="42">
        <v>44644</v>
      </c>
      <c r="F48" s="41" t="s">
        <v>139</v>
      </c>
      <c r="G48" s="42">
        <v>45049</v>
      </c>
    </row>
    <row r="49" spans="1:7" ht="27">
      <c r="A49" s="95"/>
      <c r="B49" s="41" t="s">
        <v>130</v>
      </c>
      <c r="C49" s="41" t="s">
        <v>130</v>
      </c>
      <c r="D49" s="41" t="s">
        <v>140</v>
      </c>
      <c r="E49" s="41" t="s">
        <v>141</v>
      </c>
      <c r="F49" s="48" t="s">
        <v>142</v>
      </c>
      <c r="G49" s="41" t="s">
        <v>143</v>
      </c>
    </row>
    <row r="50" spans="1:7" ht="40.5">
      <c r="A50" s="95"/>
      <c r="B50" s="41" t="s">
        <v>130</v>
      </c>
      <c r="C50" s="41" t="s">
        <v>130</v>
      </c>
      <c r="D50" s="41" t="s">
        <v>144</v>
      </c>
      <c r="E50" s="41" t="s">
        <v>130</v>
      </c>
      <c r="F50" s="48" t="s">
        <v>145</v>
      </c>
      <c r="G50" s="42" t="s">
        <v>146</v>
      </c>
    </row>
    <row r="51" spans="1:7">
      <c r="A51" s="95"/>
      <c r="B51" s="41" t="s">
        <v>130</v>
      </c>
      <c r="C51" s="41" t="s">
        <v>130</v>
      </c>
      <c r="D51" s="41" t="s">
        <v>130</v>
      </c>
      <c r="E51" s="41" t="s">
        <v>130</v>
      </c>
      <c r="F51" s="41" t="s">
        <v>147</v>
      </c>
      <c r="G51" s="41" t="s">
        <v>148</v>
      </c>
    </row>
    <row r="52" spans="1:7" ht="8.1" customHeight="1"/>
    <row r="53" spans="1:7">
      <c r="A53" s="98" t="s">
        <v>149</v>
      </c>
      <c r="B53" s="41" t="s">
        <v>130</v>
      </c>
      <c r="C53" s="41" t="s">
        <v>130</v>
      </c>
      <c r="D53" s="41" t="s">
        <v>150</v>
      </c>
      <c r="E53" s="42">
        <v>44643</v>
      </c>
      <c r="F53" s="41" t="s">
        <v>151</v>
      </c>
      <c r="G53" s="41" t="s">
        <v>152</v>
      </c>
    </row>
    <row r="54" spans="1:7">
      <c r="A54" s="100"/>
      <c r="B54" s="41" t="s">
        <v>130</v>
      </c>
      <c r="C54" s="41" t="s">
        <v>130</v>
      </c>
      <c r="D54" s="41" t="s">
        <v>153</v>
      </c>
      <c r="E54" s="41" t="s">
        <v>154</v>
      </c>
      <c r="F54" s="41" t="s">
        <v>155</v>
      </c>
      <c r="G54" s="42">
        <v>45044</v>
      </c>
    </row>
    <row r="55" spans="1:7">
      <c r="A55" s="100"/>
      <c r="B55" s="41" t="s">
        <v>130</v>
      </c>
      <c r="C55" s="41" t="s">
        <v>130</v>
      </c>
      <c r="D55" s="41" t="s">
        <v>130</v>
      </c>
      <c r="E55" s="41" t="s">
        <v>130</v>
      </c>
      <c r="F55" s="41" t="s">
        <v>156</v>
      </c>
      <c r="G55" s="41" t="s">
        <v>157</v>
      </c>
    </row>
    <row r="56" spans="1:7">
      <c r="A56" s="100"/>
      <c r="B56" s="41" t="s">
        <v>130</v>
      </c>
      <c r="C56" s="41" t="s">
        <v>130</v>
      </c>
      <c r="D56" s="41" t="s">
        <v>130</v>
      </c>
      <c r="E56" s="41" t="s">
        <v>130</v>
      </c>
      <c r="F56" s="41" t="s">
        <v>158</v>
      </c>
      <c r="G56" s="42">
        <v>45103</v>
      </c>
    </row>
    <row r="57" spans="1:7" ht="27">
      <c r="A57" s="100"/>
      <c r="B57" s="41" t="s">
        <v>130</v>
      </c>
      <c r="C57" s="41" t="s">
        <v>130</v>
      </c>
      <c r="D57" s="41" t="s">
        <v>130</v>
      </c>
      <c r="E57" s="41" t="s">
        <v>130</v>
      </c>
      <c r="F57" s="48" t="s">
        <v>159</v>
      </c>
      <c r="G57" s="41" t="s">
        <v>160</v>
      </c>
    </row>
    <row r="58" spans="1:7">
      <c r="A58" s="100"/>
      <c r="B58" s="41" t="s">
        <v>130</v>
      </c>
      <c r="C58" s="41" t="s">
        <v>130</v>
      </c>
      <c r="D58" s="41" t="s">
        <v>130</v>
      </c>
      <c r="E58" s="41" t="s">
        <v>130</v>
      </c>
      <c r="F58" s="48" t="s">
        <v>161</v>
      </c>
      <c r="G58" s="42" t="s">
        <v>162</v>
      </c>
    </row>
    <row r="59" spans="1:7" ht="27">
      <c r="A59" s="100"/>
      <c r="B59" s="41" t="s">
        <v>130</v>
      </c>
      <c r="C59" s="41" t="s">
        <v>130</v>
      </c>
      <c r="D59" s="41" t="s">
        <v>130</v>
      </c>
      <c r="E59" s="41" t="s">
        <v>130</v>
      </c>
      <c r="F59" s="48" t="s">
        <v>163</v>
      </c>
      <c r="G59" s="42" t="s">
        <v>162</v>
      </c>
    </row>
    <row r="60" spans="1:7">
      <c r="A60" s="100"/>
      <c r="B60" s="41" t="s">
        <v>130</v>
      </c>
      <c r="C60" s="41" t="s">
        <v>130</v>
      </c>
      <c r="D60" s="41" t="s">
        <v>130</v>
      </c>
      <c r="E60" s="41" t="s">
        <v>130</v>
      </c>
      <c r="F60" s="41" t="s">
        <v>164</v>
      </c>
      <c r="G60" s="41" t="s">
        <v>165</v>
      </c>
    </row>
    <row r="61" spans="1:7" ht="27">
      <c r="A61" s="99"/>
      <c r="B61" s="41" t="s">
        <v>130</v>
      </c>
      <c r="C61" s="41" t="s">
        <v>130</v>
      </c>
      <c r="D61" s="41" t="s">
        <v>130</v>
      </c>
      <c r="E61" s="41" t="s">
        <v>130</v>
      </c>
      <c r="F61" s="48" t="s">
        <v>166</v>
      </c>
      <c r="G61" s="42" t="s">
        <v>148</v>
      </c>
    </row>
    <row r="62" spans="1:7" ht="8.1" customHeight="1"/>
    <row r="63" spans="1:7">
      <c r="A63" s="98" t="s">
        <v>167</v>
      </c>
      <c r="B63" s="41" t="s">
        <v>130</v>
      </c>
      <c r="C63" s="41" t="s">
        <v>130</v>
      </c>
      <c r="D63" s="41" t="s">
        <v>168</v>
      </c>
      <c r="E63" s="41" t="s">
        <v>169</v>
      </c>
      <c r="F63" s="48" t="s">
        <v>168</v>
      </c>
      <c r="G63" s="42" t="s">
        <v>170</v>
      </c>
    </row>
    <row r="64" spans="1:7" ht="27">
      <c r="A64" s="100"/>
      <c r="B64" s="41" t="s">
        <v>130</v>
      </c>
      <c r="C64" s="41" t="s">
        <v>130</v>
      </c>
      <c r="D64" s="48" t="s">
        <v>171</v>
      </c>
      <c r="E64" s="42">
        <v>44679</v>
      </c>
      <c r="F64" s="48" t="s">
        <v>172</v>
      </c>
      <c r="G64" s="42">
        <v>44992</v>
      </c>
    </row>
    <row r="65" spans="1:7">
      <c r="A65" s="100"/>
      <c r="B65" s="41" t="s">
        <v>130</v>
      </c>
      <c r="C65" s="41" t="s">
        <v>130</v>
      </c>
      <c r="D65" s="41" t="s">
        <v>173</v>
      </c>
      <c r="E65" s="42">
        <v>44799</v>
      </c>
      <c r="F65" s="48" t="s">
        <v>174</v>
      </c>
      <c r="G65" s="42" t="s">
        <v>175</v>
      </c>
    </row>
    <row r="66" spans="1:7">
      <c r="A66" s="100"/>
      <c r="B66" s="41" t="s">
        <v>130</v>
      </c>
      <c r="C66" s="41" t="s">
        <v>130</v>
      </c>
      <c r="D66" s="48" t="s">
        <v>176</v>
      </c>
      <c r="E66" s="42" t="s">
        <v>177</v>
      </c>
      <c r="F66" s="48" t="s">
        <v>178</v>
      </c>
      <c r="G66" s="42">
        <v>45041</v>
      </c>
    </row>
    <row r="67" spans="1:7" ht="40.5">
      <c r="A67" s="100"/>
      <c r="B67" s="41" t="s">
        <v>130</v>
      </c>
      <c r="C67" s="41" t="s">
        <v>130</v>
      </c>
      <c r="D67" s="48" t="s">
        <v>179</v>
      </c>
      <c r="E67" s="42" t="s">
        <v>180</v>
      </c>
      <c r="F67" s="48" t="s">
        <v>181</v>
      </c>
      <c r="G67" s="42" t="s">
        <v>182</v>
      </c>
    </row>
    <row r="68" spans="1:7">
      <c r="A68" s="100"/>
      <c r="B68" s="41" t="s">
        <v>130</v>
      </c>
      <c r="C68" s="41" t="s">
        <v>130</v>
      </c>
      <c r="D68" s="48" t="s">
        <v>156</v>
      </c>
      <c r="E68" s="42">
        <v>44833</v>
      </c>
      <c r="F68" s="48" t="s">
        <v>183</v>
      </c>
      <c r="G68" s="42">
        <v>45100</v>
      </c>
    </row>
    <row r="69" spans="1:7">
      <c r="A69" s="100"/>
      <c r="B69" s="41" t="s">
        <v>130</v>
      </c>
      <c r="C69" s="41" t="s">
        <v>130</v>
      </c>
      <c r="D69" s="48" t="s">
        <v>184</v>
      </c>
      <c r="E69" s="41" t="s">
        <v>185</v>
      </c>
      <c r="F69" s="48" t="s">
        <v>186</v>
      </c>
      <c r="G69" s="41" t="s">
        <v>187</v>
      </c>
    </row>
    <row r="70" spans="1:7" ht="27">
      <c r="A70" s="100"/>
      <c r="B70" s="41" t="s">
        <v>130</v>
      </c>
      <c r="C70" s="41" t="s">
        <v>130</v>
      </c>
      <c r="D70" s="48" t="s">
        <v>188</v>
      </c>
      <c r="E70" s="42" t="s">
        <v>185</v>
      </c>
      <c r="F70" s="48" t="s">
        <v>189</v>
      </c>
      <c r="G70" s="42" t="s">
        <v>190</v>
      </c>
    </row>
    <row r="71" spans="1:7">
      <c r="A71" s="100"/>
      <c r="B71" s="41" t="s">
        <v>130</v>
      </c>
      <c r="C71" s="41" t="s">
        <v>130</v>
      </c>
      <c r="D71" s="41" t="s">
        <v>130</v>
      </c>
      <c r="E71" s="41" t="s">
        <v>130</v>
      </c>
      <c r="F71" s="48" t="s">
        <v>191</v>
      </c>
      <c r="G71" s="42" t="s">
        <v>192</v>
      </c>
    </row>
    <row r="72" spans="1:7">
      <c r="A72" s="99"/>
      <c r="B72" s="49" t="s">
        <v>130</v>
      </c>
      <c r="C72" s="49" t="s">
        <v>130</v>
      </c>
      <c r="D72" s="49" t="s">
        <v>130</v>
      </c>
      <c r="E72" s="49" t="s">
        <v>130</v>
      </c>
      <c r="F72" s="50" t="s">
        <v>193</v>
      </c>
      <c r="G72" s="51" t="s">
        <v>136</v>
      </c>
    </row>
    <row r="73" spans="1:7" ht="8.1" customHeight="1">
      <c r="A73" s="44"/>
      <c r="B73" s="52"/>
      <c r="C73" s="52"/>
      <c r="D73" s="52"/>
      <c r="E73" s="52"/>
      <c r="F73" s="53"/>
      <c r="G73" s="54"/>
    </row>
    <row r="74" spans="1:7">
      <c r="A74" s="95" t="s">
        <v>194</v>
      </c>
      <c r="B74" s="41" t="s">
        <v>130</v>
      </c>
      <c r="C74" s="41" t="s">
        <v>130</v>
      </c>
      <c r="D74" s="41" t="s">
        <v>130</v>
      </c>
      <c r="E74" s="41" t="s">
        <v>130</v>
      </c>
      <c r="F74" s="55" t="s">
        <v>129</v>
      </c>
      <c r="G74" s="56" t="s">
        <v>195</v>
      </c>
    </row>
    <row r="75" spans="1:7">
      <c r="A75" s="95"/>
      <c r="B75" s="41" t="s">
        <v>130</v>
      </c>
      <c r="C75" s="41" t="s">
        <v>130</v>
      </c>
      <c r="D75" s="41" t="s">
        <v>130</v>
      </c>
      <c r="E75" s="41" t="s">
        <v>130</v>
      </c>
      <c r="F75" s="55" t="s">
        <v>196</v>
      </c>
      <c r="G75" s="56">
        <v>45103</v>
      </c>
    </row>
    <row r="76" spans="1:7" ht="8.1" customHeight="1">
      <c r="A76" s="44"/>
      <c r="B76" s="44"/>
      <c r="C76" s="44"/>
      <c r="D76" s="44"/>
      <c r="E76" s="44"/>
      <c r="F76" s="57"/>
      <c r="G76" s="58"/>
    </row>
    <row r="77" spans="1:7">
      <c r="A77" s="59" t="s">
        <v>197</v>
      </c>
      <c r="B77" s="41" t="s">
        <v>130</v>
      </c>
      <c r="C77" s="41" t="s">
        <v>130</v>
      </c>
      <c r="D77" s="41" t="s">
        <v>130</v>
      </c>
      <c r="E77" s="41" t="s">
        <v>130</v>
      </c>
      <c r="F77" s="55" t="s">
        <v>135</v>
      </c>
      <c r="G77" s="56" t="s">
        <v>136</v>
      </c>
    </row>
  </sheetData>
  <mergeCells count="12">
    <mergeCell ref="A74:A75"/>
    <mergeCell ref="A1:G1"/>
    <mergeCell ref="A2:A4"/>
    <mergeCell ref="B2:G2"/>
    <mergeCell ref="B3:C3"/>
    <mergeCell ref="D3:E3"/>
    <mergeCell ref="F3:G3"/>
    <mergeCell ref="A36:A37"/>
    <mergeCell ref="A41:A46"/>
    <mergeCell ref="A48:A51"/>
    <mergeCell ref="A53:A61"/>
    <mergeCell ref="A63:A7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rowBreaks count="1" manualBreakCount="1">
    <brk id="5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15"/>
  <sheetViews>
    <sheetView zoomScale="70" zoomScaleNormal="70" workbookViewId="0">
      <selection activeCell="Q7" sqref="Q7"/>
    </sheetView>
  </sheetViews>
  <sheetFormatPr defaultRowHeight="16.5"/>
  <cols>
    <col min="1" max="1" width="5.125" bestFit="1" customWidth="1"/>
    <col min="2" max="3" width="20.625" customWidth="1"/>
    <col min="4" max="4" width="0" hidden="1" customWidth="1"/>
    <col min="5" max="5" width="8.125" hidden="1" customWidth="1"/>
    <col min="6" max="6" width="10" hidden="1" customWidth="1"/>
    <col min="7" max="7" width="14.625" hidden="1" customWidth="1"/>
    <col min="8" max="8" width="30.125" bestFit="1" customWidth="1"/>
    <col min="9" max="10" width="13.625" customWidth="1"/>
    <col min="11" max="15" width="15.625" customWidth="1"/>
  </cols>
  <sheetData>
    <row r="1" spans="1:15">
      <c r="A1" s="109" t="s">
        <v>198</v>
      </c>
      <c r="B1" s="109" t="s">
        <v>199</v>
      </c>
      <c r="C1" s="109"/>
      <c r="D1" s="109" t="s">
        <v>200</v>
      </c>
      <c r="E1" s="109" t="s">
        <v>201</v>
      </c>
      <c r="F1" s="110" t="s">
        <v>202</v>
      </c>
      <c r="G1" s="112" t="s">
        <v>203</v>
      </c>
      <c r="H1" s="101" t="s">
        <v>204</v>
      </c>
      <c r="I1" s="103" t="s">
        <v>205</v>
      </c>
      <c r="J1" s="104"/>
      <c r="K1" s="101" t="s">
        <v>206</v>
      </c>
      <c r="L1" s="105"/>
      <c r="M1" s="105"/>
      <c r="N1" s="105"/>
      <c r="O1" s="106"/>
    </row>
    <row r="2" spans="1:15">
      <c r="A2" s="109"/>
      <c r="B2" s="17" t="s">
        <v>207</v>
      </c>
      <c r="C2" s="17" t="s">
        <v>208</v>
      </c>
      <c r="D2" s="109"/>
      <c r="E2" s="109"/>
      <c r="F2" s="111"/>
      <c r="G2" s="112"/>
      <c r="H2" s="102"/>
      <c r="I2" s="8" t="s">
        <v>209</v>
      </c>
      <c r="J2" s="9" t="s">
        <v>210</v>
      </c>
      <c r="K2" s="102"/>
      <c r="L2" s="107"/>
      <c r="M2" s="107"/>
      <c r="N2" s="107"/>
      <c r="O2" s="108"/>
    </row>
    <row r="3" spans="1:15" ht="32.65" customHeight="1">
      <c r="A3" s="2">
        <v>1</v>
      </c>
      <c r="B3" s="2" t="s">
        <v>211</v>
      </c>
      <c r="C3" s="2" t="s">
        <v>212</v>
      </c>
      <c r="D3" s="2" t="s">
        <v>213</v>
      </c>
      <c r="E3" s="2" t="s">
        <v>214</v>
      </c>
      <c r="F3" s="3" t="s">
        <v>215</v>
      </c>
      <c r="G3" s="1" t="s">
        <v>216</v>
      </c>
      <c r="H3" s="7" t="s">
        <v>217</v>
      </c>
      <c r="I3" s="11">
        <v>42335</v>
      </c>
      <c r="J3" s="12">
        <v>45211</v>
      </c>
      <c r="K3" s="36" t="s">
        <v>218</v>
      </c>
      <c r="L3" s="36" t="s">
        <v>219</v>
      </c>
      <c r="M3" s="36" t="s">
        <v>220</v>
      </c>
      <c r="N3" s="36" t="s">
        <v>221</v>
      </c>
      <c r="O3" s="36"/>
    </row>
    <row r="4" spans="1:15" ht="32.65" customHeight="1">
      <c r="A4" s="2">
        <v>2</v>
      </c>
      <c r="B4" s="2" t="s">
        <v>222</v>
      </c>
      <c r="C4" s="2" t="s">
        <v>223</v>
      </c>
      <c r="D4" s="2" t="s">
        <v>213</v>
      </c>
      <c r="E4" s="2" t="s">
        <v>224</v>
      </c>
      <c r="F4" s="2" t="s">
        <v>225</v>
      </c>
      <c r="G4" s="6" t="s">
        <v>226</v>
      </c>
      <c r="H4" s="7" t="s">
        <v>227</v>
      </c>
      <c r="I4" s="15">
        <v>40981</v>
      </c>
      <c r="J4" s="12">
        <v>44984</v>
      </c>
      <c r="K4" s="36"/>
      <c r="L4" s="36"/>
      <c r="M4" s="36"/>
      <c r="N4" s="36"/>
      <c r="O4" s="36"/>
    </row>
    <row r="5" spans="1:15" ht="32.65" customHeight="1">
      <c r="A5" s="2">
        <v>3</v>
      </c>
      <c r="B5" s="4" t="s">
        <v>228</v>
      </c>
      <c r="C5" s="4" t="s">
        <v>229</v>
      </c>
      <c r="D5" s="4" t="s">
        <v>230</v>
      </c>
      <c r="E5" s="4" t="s">
        <v>231</v>
      </c>
      <c r="F5" s="4" t="s">
        <v>232</v>
      </c>
      <c r="G5" s="4" t="s">
        <v>233</v>
      </c>
      <c r="H5" s="7" t="s">
        <v>227</v>
      </c>
      <c r="I5" s="13">
        <v>43538</v>
      </c>
      <c r="J5" s="12">
        <v>45058</v>
      </c>
      <c r="K5" s="36" t="s">
        <v>234</v>
      </c>
      <c r="L5" s="36" t="s">
        <v>235</v>
      </c>
      <c r="M5" s="36" t="s">
        <v>236</v>
      </c>
      <c r="N5" s="36"/>
      <c r="O5" s="36"/>
    </row>
    <row r="6" spans="1:15" ht="32.65" customHeight="1">
      <c r="A6" s="2">
        <v>4</v>
      </c>
      <c r="B6" s="4" t="s">
        <v>237</v>
      </c>
      <c r="C6" s="4" t="s">
        <v>238</v>
      </c>
      <c r="D6" s="4" t="s">
        <v>230</v>
      </c>
      <c r="E6" s="4" t="s">
        <v>239</v>
      </c>
      <c r="F6" s="4" t="s">
        <v>225</v>
      </c>
      <c r="G6" s="6" t="s">
        <v>226</v>
      </c>
      <c r="H6" s="7" t="s">
        <v>227</v>
      </c>
      <c r="I6" s="13">
        <v>43861</v>
      </c>
      <c r="J6" s="12">
        <v>45211</v>
      </c>
      <c r="K6" s="36"/>
      <c r="L6" s="36"/>
      <c r="M6" s="36"/>
      <c r="N6" s="36"/>
      <c r="O6" s="36"/>
    </row>
    <row r="7" spans="1:15" ht="32.65" customHeight="1">
      <c r="A7" s="2">
        <v>5</v>
      </c>
      <c r="B7" s="4" t="s">
        <v>240</v>
      </c>
      <c r="C7" s="4" t="s">
        <v>241</v>
      </c>
      <c r="D7" s="4" t="s">
        <v>242</v>
      </c>
      <c r="E7" s="4" t="s">
        <v>243</v>
      </c>
      <c r="F7" s="4" t="s">
        <v>244</v>
      </c>
      <c r="G7" s="4" t="s">
        <v>245</v>
      </c>
      <c r="H7" s="7" t="s">
        <v>227</v>
      </c>
      <c r="I7" s="13">
        <v>44223</v>
      </c>
      <c r="J7" s="18">
        <v>44984</v>
      </c>
      <c r="K7" s="36"/>
      <c r="L7" s="36"/>
      <c r="M7" s="36"/>
      <c r="N7" s="36"/>
      <c r="O7" s="36"/>
    </row>
    <row r="8" spans="1:15" ht="32.65" customHeight="1">
      <c r="A8" s="2">
        <v>6</v>
      </c>
      <c r="B8" s="4" t="s">
        <v>246</v>
      </c>
      <c r="C8" s="4" t="s">
        <v>247</v>
      </c>
      <c r="D8" s="4" t="s">
        <v>213</v>
      </c>
      <c r="E8" s="4" t="s">
        <v>248</v>
      </c>
      <c r="F8" s="4" t="s">
        <v>249</v>
      </c>
      <c r="G8" s="4" t="s">
        <v>250</v>
      </c>
      <c r="H8" s="7" t="s">
        <v>227</v>
      </c>
      <c r="I8" s="13">
        <v>44293</v>
      </c>
      <c r="J8" s="18" t="s">
        <v>251</v>
      </c>
      <c r="K8" s="36"/>
      <c r="L8" s="36"/>
      <c r="M8" s="36"/>
      <c r="N8" s="36"/>
      <c r="O8" s="36"/>
    </row>
    <row r="9" spans="1:15" ht="32.65" customHeight="1">
      <c r="A9" s="2">
        <v>7</v>
      </c>
      <c r="B9" s="4" t="s">
        <v>252</v>
      </c>
      <c r="C9" s="4" t="s">
        <v>253</v>
      </c>
      <c r="D9" s="4" t="s">
        <v>230</v>
      </c>
      <c r="E9" s="4" t="s">
        <v>254</v>
      </c>
      <c r="F9" s="4" t="s">
        <v>255</v>
      </c>
      <c r="G9" s="4" t="s">
        <v>256</v>
      </c>
      <c r="H9" s="7" t="s">
        <v>227</v>
      </c>
      <c r="I9" s="13">
        <v>44293</v>
      </c>
      <c r="J9" s="18">
        <v>44984</v>
      </c>
      <c r="K9" s="36"/>
      <c r="L9" s="36"/>
      <c r="M9" s="36"/>
      <c r="N9" s="36"/>
      <c r="O9" s="36"/>
    </row>
    <row r="10" spans="1:15" ht="32.65" customHeight="1">
      <c r="A10" s="2">
        <v>8</v>
      </c>
      <c r="B10" s="4" t="s">
        <v>257</v>
      </c>
      <c r="C10" s="4" t="s">
        <v>258</v>
      </c>
      <c r="D10" s="4" t="s">
        <v>259</v>
      </c>
      <c r="E10" s="4" t="s">
        <v>260</v>
      </c>
      <c r="F10" s="4" t="s">
        <v>261</v>
      </c>
      <c r="G10" s="4" t="s">
        <v>262</v>
      </c>
      <c r="H10" s="7" t="s">
        <v>227</v>
      </c>
      <c r="I10" s="13">
        <v>44524</v>
      </c>
      <c r="J10" s="18">
        <v>45272</v>
      </c>
      <c r="K10" s="36"/>
      <c r="L10" s="36"/>
      <c r="M10" s="36"/>
      <c r="N10" s="36"/>
      <c r="O10" s="36"/>
    </row>
    <row r="11" spans="1:15" ht="32.65" customHeight="1">
      <c r="A11" s="2">
        <v>9</v>
      </c>
      <c r="B11" s="4" t="s">
        <v>263</v>
      </c>
      <c r="C11" s="4" t="s">
        <v>264</v>
      </c>
      <c r="D11" s="4" t="s">
        <v>230</v>
      </c>
      <c r="E11" s="4" t="s">
        <v>265</v>
      </c>
      <c r="F11" s="4" t="s">
        <v>261</v>
      </c>
      <c r="G11" s="4" t="s">
        <v>262</v>
      </c>
      <c r="H11" s="7" t="s">
        <v>227</v>
      </c>
      <c r="I11" s="13">
        <v>44524</v>
      </c>
      <c r="J11" s="18">
        <v>45272</v>
      </c>
      <c r="K11" s="36"/>
      <c r="L11" s="36"/>
      <c r="M11" s="36"/>
      <c r="N11" s="36"/>
      <c r="O11" s="36"/>
    </row>
    <row r="12" spans="1:15" ht="32.65" customHeight="1">
      <c r="A12" s="2">
        <v>10</v>
      </c>
      <c r="B12" s="4" t="s">
        <v>266</v>
      </c>
      <c r="C12" s="4" t="s">
        <v>267</v>
      </c>
      <c r="D12" s="4" t="s">
        <v>230</v>
      </c>
      <c r="E12" s="4" t="s">
        <v>268</v>
      </c>
      <c r="F12" s="4" t="s">
        <v>269</v>
      </c>
      <c r="G12" s="4" t="s">
        <v>270</v>
      </c>
      <c r="H12" s="7" t="s">
        <v>227</v>
      </c>
      <c r="I12" s="13">
        <v>44552</v>
      </c>
      <c r="J12" s="18">
        <v>45272</v>
      </c>
      <c r="K12" s="36"/>
      <c r="L12" s="36"/>
      <c r="M12" s="36"/>
      <c r="N12" s="36"/>
      <c r="O12" s="36"/>
    </row>
    <row r="13" spans="1:15" ht="32.65" customHeight="1">
      <c r="A13" s="2">
        <v>11</v>
      </c>
      <c r="B13" s="4" t="s">
        <v>271</v>
      </c>
      <c r="C13" s="4" t="s">
        <v>272</v>
      </c>
      <c r="D13" s="4" t="s">
        <v>230</v>
      </c>
      <c r="E13" s="4" t="s">
        <v>273</v>
      </c>
      <c r="F13" s="4" t="s">
        <v>274</v>
      </c>
      <c r="G13" s="4" t="s">
        <v>275</v>
      </c>
      <c r="H13" s="7" t="s">
        <v>227</v>
      </c>
      <c r="I13" s="13">
        <v>44848</v>
      </c>
      <c r="J13" s="18" t="s">
        <v>276</v>
      </c>
      <c r="K13" s="36"/>
      <c r="L13" s="36"/>
      <c r="M13" s="36"/>
      <c r="N13" s="36"/>
      <c r="O13" s="36"/>
    </row>
    <row r="14" spans="1:15" ht="32.65" customHeight="1">
      <c r="A14" s="2">
        <v>12</v>
      </c>
      <c r="B14" s="4" t="s">
        <v>277</v>
      </c>
      <c r="C14" s="4" t="s">
        <v>278</v>
      </c>
      <c r="D14" s="4" t="s">
        <v>230</v>
      </c>
      <c r="E14" s="4" t="s">
        <v>279</v>
      </c>
      <c r="F14" s="4" t="s">
        <v>280</v>
      </c>
      <c r="G14" s="4" t="s">
        <v>281</v>
      </c>
      <c r="H14" s="7" t="s">
        <v>227</v>
      </c>
      <c r="I14" s="13">
        <v>45212</v>
      </c>
      <c r="J14" s="18" t="s">
        <v>276</v>
      </c>
      <c r="K14" s="36"/>
      <c r="L14" s="36"/>
      <c r="M14" s="36"/>
      <c r="N14" s="36"/>
      <c r="O14" s="36"/>
    </row>
    <row r="15" spans="1:15" ht="32.65" customHeight="1">
      <c r="A15" s="2">
        <v>13</v>
      </c>
      <c r="B15" s="4" t="s">
        <v>282</v>
      </c>
      <c r="C15" s="4" t="s">
        <v>283</v>
      </c>
      <c r="D15" s="4" t="s">
        <v>259</v>
      </c>
      <c r="E15" s="4" t="s">
        <v>284</v>
      </c>
      <c r="F15" s="4" t="s">
        <v>280</v>
      </c>
      <c r="G15" s="4" t="s">
        <v>285</v>
      </c>
      <c r="H15" s="7" t="s">
        <v>227</v>
      </c>
      <c r="I15" s="13">
        <v>45212</v>
      </c>
      <c r="J15" s="18" t="s">
        <v>276</v>
      </c>
      <c r="K15" s="36"/>
      <c r="L15" s="36"/>
      <c r="M15" s="36"/>
      <c r="N15" s="36"/>
      <c r="O15" s="36"/>
    </row>
  </sheetData>
  <mergeCells count="9">
    <mergeCell ref="H1:H2"/>
    <mergeCell ref="I1:J1"/>
    <mergeCell ref="K1:O2"/>
    <mergeCell ref="A1:A2"/>
    <mergeCell ref="B1:C1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R21"/>
  <sheetViews>
    <sheetView topLeftCell="A4" zoomScale="85" zoomScaleNormal="85" workbookViewId="0">
      <selection activeCell="F34" sqref="F34"/>
    </sheetView>
  </sheetViews>
  <sheetFormatPr defaultRowHeight="16.5"/>
  <cols>
    <col min="2" max="3" width="8.125" customWidth="1"/>
    <col min="4" max="4" width="9" customWidth="1"/>
    <col min="5" max="5" width="16" customWidth="1"/>
    <col min="6" max="6" width="17.5" customWidth="1"/>
    <col min="7" max="7" width="16.125" customWidth="1"/>
    <col min="8" max="8" width="16.625" customWidth="1"/>
    <col min="9" max="9" width="15.75" customWidth="1"/>
    <col min="10" max="10" width="15.625" customWidth="1"/>
    <col min="11" max="11" width="24.75" customWidth="1"/>
    <col min="12" max="12" width="25.125" bestFit="1" customWidth="1"/>
  </cols>
  <sheetData>
    <row r="2" spans="2:15" ht="40.15" customHeight="1">
      <c r="B2" s="113" t="s">
        <v>81</v>
      </c>
      <c r="C2" s="113"/>
      <c r="D2" s="113"/>
      <c r="E2" s="113"/>
      <c r="F2" s="113"/>
      <c r="G2" s="25"/>
      <c r="H2" s="26"/>
      <c r="I2" s="26"/>
      <c r="J2" s="26"/>
      <c r="K2" s="26"/>
      <c r="L2" s="25"/>
    </row>
    <row r="3" spans="2:15" ht="20.65" customHeight="1">
      <c r="B3" s="24"/>
      <c r="C3" s="24"/>
      <c r="D3" s="24"/>
      <c r="E3" s="24"/>
      <c r="F3" s="23"/>
      <c r="G3" s="25"/>
      <c r="H3" s="26"/>
      <c r="I3" s="26"/>
      <c r="J3" s="26"/>
      <c r="K3" s="26"/>
      <c r="L3" s="25"/>
    </row>
    <row r="4" spans="2:15" ht="33" customHeight="1">
      <c r="B4" s="35" t="s">
        <v>1</v>
      </c>
      <c r="C4" s="35" t="s">
        <v>2</v>
      </c>
      <c r="D4" s="35" t="s">
        <v>3</v>
      </c>
      <c r="E4" s="35" t="s">
        <v>6</v>
      </c>
      <c r="F4" s="34" t="s">
        <v>7</v>
      </c>
    </row>
    <row r="5" spans="2:15" ht="19.899999999999999" customHeight="1">
      <c r="B5" s="2" t="s">
        <v>17</v>
      </c>
      <c r="C5" s="2" t="s">
        <v>18</v>
      </c>
      <c r="D5" s="2" t="s">
        <v>19</v>
      </c>
      <c r="E5" s="4" t="s">
        <v>63</v>
      </c>
      <c r="F5" s="4" t="s">
        <v>43</v>
      </c>
    </row>
    <row r="6" spans="2:15" ht="19.899999999999999" customHeight="1">
      <c r="B6" s="2" t="s">
        <v>44</v>
      </c>
      <c r="C6" s="2" t="s">
        <v>45</v>
      </c>
      <c r="D6" s="4" t="s">
        <v>21</v>
      </c>
      <c r="E6" s="4" t="s">
        <v>62</v>
      </c>
      <c r="F6" s="4" t="s">
        <v>42</v>
      </c>
    </row>
    <row r="7" spans="2:15" ht="19.899999999999999" customHeight="1">
      <c r="B7" s="2" t="s">
        <v>38</v>
      </c>
      <c r="C7" s="2" t="s">
        <v>40</v>
      </c>
      <c r="D7" s="2" t="s">
        <v>10</v>
      </c>
      <c r="E7" s="4" t="s">
        <v>61</v>
      </c>
      <c r="F7" s="1" t="s">
        <v>42</v>
      </c>
    </row>
    <row r="8" spans="2:15" ht="19.899999999999999" customHeight="1">
      <c r="B8" s="2" t="s">
        <v>39</v>
      </c>
      <c r="C8" s="2" t="s">
        <v>41</v>
      </c>
      <c r="D8" s="2" t="s">
        <v>14</v>
      </c>
      <c r="E8" s="4" t="s">
        <v>60</v>
      </c>
      <c r="F8" s="1" t="s">
        <v>42</v>
      </c>
    </row>
    <row r="9" spans="2:15" ht="19.899999999999999" customHeight="1">
      <c r="B9" s="2" t="s">
        <v>56</v>
      </c>
      <c r="C9" s="4" t="s">
        <v>58</v>
      </c>
      <c r="D9" s="2" t="s">
        <v>9</v>
      </c>
      <c r="E9" s="4" t="s">
        <v>59</v>
      </c>
      <c r="F9" s="1" t="s">
        <v>57</v>
      </c>
    </row>
    <row r="10" spans="2:15" ht="19.899999999999999" customHeight="1">
      <c r="B10" s="2" t="s">
        <v>77</v>
      </c>
      <c r="C10" s="4" t="s">
        <v>78</v>
      </c>
      <c r="D10" s="2" t="s">
        <v>79</v>
      </c>
      <c r="E10" s="5"/>
      <c r="F10" s="1" t="s">
        <v>80</v>
      </c>
    </row>
    <row r="11" spans="2:15" ht="19.899999999999999" customHeight="1">
      <c r="B11" s="2" t="s">
        <v>11</v>
      </c>
      <c r="C11" s="2" t="s">
        <v>85</v>
      </c>
      <c r="D11" s="2" t="s">
        <v>12</v>
      </c>
      <c r="E11" s="2" t="s">
        <v>86</v>
      </c>
      <c r="F11" s="1" t="s">
        <v>42</v>
      </c>
      <c r="G11" s="29"/>
      <c r="H11" s="30"/>
      <c r="I11" s="28"/>
      <c r="J11" s="31"/>
      <c r="K11" s="28"/>
      <c r="L11" s="28"/>
      <c r="M11" s="28"/>
      <c r="N11" s="28"/>
      <c r="O11" s="28"/>
    </row>
    <row r="12" spans="2:15" ht="19.899999999999999" customHeight="1">
      <c r="B12" s="4" t="s">
        <v>71</v>
      </c>
      <c r="C12" s="4" t="s">
        <v>73</v>
      </c>
      <c r="D12" s="4" t="s">
        <v>87</v>
      </c>
      <c r="E12" s="4" t="s">
        <v>88</v>
      </c>
      <c r="F12" s="1" t="s">
        <v>89</v>
      </c>
    </row>
    <row r="13" spans="2:15" ht="19.899999999999999" customHeight="1">
      <c r="B13" s="4" t="s">
        <v>46</v>
      </c>
      <c r="C13" s="4" t="s">
        <v>8</v>
      </c>
      <c r="D13" s="4" t="s">
        <v>53</v>
      </c>
      <c r="E13" s="4" t="s">
        <v>92</v>
      </c>
      <c r="F13" s="4" t="s">
        <v>93</v>
      </c>
    </row>
    <row r="14" spans="2:15" ht="19.899999999999999" customHeight="1">
      <c r="B14" s="4" t="s">
        <v>34</v>
      </c>
      <c r="C14" s="4" t="s">
        <v>76</v>
      </c>
      <c r="D14" s="4" t="s">
        <v>35</v>
      </c>
      <c r="E14" s="4" t="s">
        <v>97</v>
      </c>
      <c r="F14" s="4" t="s">
        <v>93</v>
      </c>
    </row>
    <row r="15" spans="2:15" ht="19.899999999999999" customHeight="1">
      <c r="B15" s="4" t="s">
        <v>49</v>
      </c>
      <c r="C15" s="4" t="s">
        <v>96</v>
      </c>
      <c r="D15" s="4" t="s">
        <v>54</v>
      </c>
      <c r="E15" s="4" t="s">
        <v>97</v>
      </c>
      <c r="F15" s="4" t="s">
        <v>93</v>
      </c>
    </row>
    <row r="16" spans="2:15" ht="19.899999999999999" customHeight="1">
      <c r="B16" s="4" t="s">
        <v>48</v>
      </c>
      <c r="C16" s="4" t="s">
        <v>8</v>
      </c>
      <c r="D16" s="4" t="s">
        <v>52</v>
      </c>
      <c r="E16" s="4" t="s">
        <v>295</v>
      </c>
      <c r="F16" s="4" t="s">
        <v>296</v>
      </c>
    </row>
    <row r="17" spans="2:18" ht="19.899999999999999" customHeight="1">
      <c r="B17" s="4" t="s">
        <v>82</v>
      </c>
      <c r="C17" s="4" t="s">
        <v>76</v>
      </c>
      <c r="D17" s="4" t="s">
        <v>83</v>
      </c>
      <c r="E17" s="4" t="s">
        <v>353</v>
      </c>
      <c r="F17" s="4" t="s">
        <v>352</v>
      </c>
    </row>
    <row r="18" spans="2:18">
      <c r="B18" s="68" t="s">
        <v>28</v>
      </c>
      <c r="C18" s="4" t="s">
        <v>76</v>
      </c>
      <c r="D18" s="68" t="s">
        <v>29</v>
      </c>
      <c r="E18" s="4" t="s">
        <v>354</v>
      </c>
      <c r="F18" s="4" t="s">
        <v>93</v>
      </c>
    </row>
    <row r="19" spans="2:18" ht="33">
      <c r="B19" s="2">
        <v>4</v>
      </c>
      <c r="C19" s="62" t="s">
        <v>47</v>
      </c>
      <c r="D19" s="4" t="s">
        <v>55</v>
      </c>
      <c r="E19" s="4" t="s">
        <v>73</v>
      </c>
      <c r="F19" s="4" t="s">
        <v>50</v>
      </c>
      <c r="G19" s="14">
        <v>44223</v>
      </c>
      <c r="H19" s="4" t="s">
        <v>51</v>
      </c>
      <c r="I19" s="7" t="s">
        <v>37</v>
      </c>
      <c r="J19" s="13">
        <v>44223</v>
      </c>
      <c r="K19" s="18">
        <v>44984</v>
      </c>
      <c r="L19" s="13">
        <v>44280</v>
      </c>
      <c r="M19" s="63">
        <v>44994</v>
      </c>
      <c r="N19" s="20"/>
      <c r="O19" s="21">
        <f t="shared" ref="O19" si="0">EDATE(K19,24)</f>
        <v>45715</v>
      </c>
      <c r="P19" s="14">
        <f>EDATE(M19,24)</f>
        <v>45725</v>
      </c>
      <c r="Q19" s="21"/>
      <c r="R19" s="14"/>
    </row>
    <row r="20" spans="2:18" ht="33">
      <c r="B20" s="2">
        <v>9</v>
      </c>
      <c r="C20" s="4" t="s">
        <v>99</v>
      </c>
      <c r="D20" s="4" t="s">
        <v>100</v>
      </c>
      <c r="E20" s="4" t="s">
        <v>76</v>
      </c>
      <c r="F20" s="4" t="s">
        <v>101</v>
      </c>
      <c r="G20" s="14">
        <v>45236</v>
      </c>
      <c r="H20" s="4" t="s">
        <v>104</v>
      </c>
      <c r="I20" s="1" t="s">
        <v>37</v>
      </c>
      <c r="J20" s="14">
        <v>45212</v>
      </c>
      <c r="K20" s="27" t="s">
        <v>15</v>
      </c>
      <c r="L20" s="27">
        <v>45264</v>
      </c>
      <c r="M20" s="27">
        <v>45264</v>
      </c>
      <c r="N20" s="14"/>
      <c r="O20" s="14"/>
      <c r="P20" s="14"/>
      <c r="Q20" s="14"/>
      <c r="R20" s="27"/>
    </row>
    <row r="21" spans="2:18" ht="33">
      <c r="B21" s="2">
        <v>12</v>
      </c>
      <c r="C21" s="4" t="s">
        <v>355</v>
      </c>
      <c r="D21" s="4" t="s">
        <v>356</v>
      </c>
      <c r="E21" s="4" t="s">
        <v>357</v>
      </c>
      <c r="F21" s="4" t="s">
        <v>358</v>
      </c>
      <c r="G21" s="14">
        <v>45827</v>
      </c>
      <c r="H21" s="4" t="s">
        <v>359</v>
      </c>
      <c r="I21" s="1" t="s">
        <v>37</v>
      </c>
      <c r="J21" s="14">
        <v>45819</v>
      </c>
      <c r="K21" s="27" t="s">
        <v>15</v>
      </c>
      <c r="L21" s="14">
        <v>45868</v>
      </c>
      <c r="M21" s="69">
        <v>45868</v>
      </c>
      <c r="N21" s="5"/>
      <c r="O21" s="14"/>
      <c r="P21" s="14">
        <f>EDATE(M21,24)</f>
        <v>46598</v>
      </c>
      <c r="Q21" s="14"/>
      <c r="R21" s="14"/>
    </row>
  </sheetData>
  <mergeCells count="1">
    <mergeCell ref="B2:F2"/>
  </mergeCells>
  <phoneticPr fontId="2" type="noConversion"/>
  <conditionalFormatting sqref="B16">
    <cfRule type="notContainsBlanks" dxfId="5" priority="2">
      <formula>LEN(TRIM(B16))&gt;0</formula>
    </cfRule>
  </conditionalFormatting>
  <conditionalFormatting sqref="D16">
    <cfRule type="notContainsBlanks" dxfId="4" priority="1">
      <formula>LEN(TRIM(D16))&gt;0</formula>
    </cfRule>
  </conditionalFormatting>
  <conditionalFormatting sqref="M11:N11">
    <cfRule type="timePeriod" dxfId="3" priority="8" timePeriod="nextMonth">
      <formula>AND(MONTH(M11)=MONTH(EDATE(TODAY(),0+1)),YEAR(M11)=YEAR(EDATE(TODAY(),0+1)))</formula>
    </cfRule>
    <cfRule type="timePeriod" dxfId="2" priority="9" timePeriod="nextMonth">
      <formula>AND(MONTH(M11)=MONTH(EDATE(TODAY(),0+1)),YEAR(M11)=YEAR(EDATE(TODAY(),0+1)))</formula>
    </cfRule>
    <cfRule type="expression" priority="10">
      <formula>$M$5:$N$19&lt;TODAY()+30</formula>
    </cfRule>
  </conditionalFormatting>
  <conditionalFormatting sqref="O11">
    <cfRule type="expression" dxfId="1" priority="11">
      <formula>EDATE($O$3,-1)&lt;=TODAY()</formula>
    </cfRule>
  </conditionalFormatting>
  <pageMargins left="0.23622047244094491" right="0.23622047244094491" top="0.74803149606299213" bottom="0.74803149606299213" header="0.31496062992125984" footer="0.31496062992125984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품질심사원 현황</vt:lpstr>
      <vt:lpstr>Sheet2</vt:lpstr>
      <vt:lpstr>Sheet1</vt:lpstr>
      <vt:lpstr>심사이력</vt:lpstr>
      <vt:lpstr>교육이력</vt:lpstr>
      <vt:lpstr>품질심사원 임면 현황</vt:lpstr>
      <vt:lpstr>'품질심사원 현황'!Print_Area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twayair</cp:lastModifiedBy>
  <cp:lastPrinted>2026-06-19T06:04:06Z</cp:lastPrinted>
  <dcterms:created xsi:type="dcterms:W3CDTF">2017-04-14T01:24:40Z</dcterms:created>
  <dcterms:modified xsi:type="dcterms:W3CDTF">2026-08-25T07:03:35Z</dcterms:modified>
</cp:coreProperties>
</file>